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rahim\Desktop\Anirul\"/>
    </mc:Choice>
  </mc:AlternateContent>
  <xr:revisionPtr revIDLastSave="0" documentId="13_ncr:1_{F0798423-728D-47DC-9237-5F2CD0EB785A}" xr6:coauthVersionLast="47" xr6:coauthVersionMax="47" xr10:uidLastSave="{00000000-0000-0000-0000-000000000000}"/>
  <bookViews>
    <workbookView xWindow="-110" yWindow="-110" windowWidth="19420" windowHeight="11500" tabRatio="694" xr2:uid="{92630CA9-E885-42D3-AF5E-0E07884C0DD7}"/>
  </bookViews>
  <sheets>
    <sheet name="ALL" sheetId="3" r:id="rId1"/>
    <sheet name="Stationary" sheetId="12" r:id="rId2"/>
    <sheet name="Production" sheetId="22" r:id="rId3"/>
    <sheet name="Cleaning" sheetId="25" r:id="rId4"/>
    <sheet name="Press" sheetId="27" r:id="rId5"/>
    <sheet name="Medical" sheetId="28" r:id="rId6"/>
    <sheet name="Needle" sheetId="29" r:id="rId7"/>
    <sheet name="Spare Parts" sheetId="26" r:id="rId8"/>
    <sheet name="Chemical" sheetId="33" r:id="rId9"/>
  </sheets>
  <externalReferences>
    <externalReference r:id="rId10"/>
  </externalReferences>
  <definedNames>
    <definedName name="_xlnm._FilterDatabase" localSheetId="0" hidden="1">ALL!$A$11:$U$177</definedName>
    <definedName name="_xlnm._FilterDatabase" localSheetId="8" hidden="1">Chemical!$A$9:$U$21</definedName>
    <definedName name="_xlnm._FilterDatabase" localSheetId="3" hidden="1">Cleaning!$A$9:$U$36</definedName>
    <definedName name="_xlnm._FilterDatabase" localSheetId="6" hidden="1">Needle!$A$9:$U$13</definedName>
    <definedName name="_xlnm._FilterDatabase" localSheetId="2" hidden="1">Production!$A$9:$U$45</definedName>
    <definedName name="_xlnm._FilterDatabase" localSheetId="7" hidden="1">'Spare Parts'!$A$9:$U$68</definedName>
    <definedName name="_xlnm._FilterDatabase" localSheetId="1" hidden="1">Stationary!$A$9:$U$46</definedName>
    <definedName name="_xlnm.Print_Area" localSheetId="0">ALL!$A$1:$U$183</definedName>
    <definedName name="_xlnm.Print_Area" localSheetId="8">Chemical!$A$1:$U$30</definedName>
    <definedName name="_xlnm.Print_Area" localSheetId="3">Cleaning!$A$1:$U$43</definedName>
    <definedName name="_xlnm.Print_Area" localSheetId="5">Medical!$A$1:$U$35</definedName>
    <definedName name="_xlnm.Print_Area" localSheetId="6">Needle!$A$1:$U$21</definedName>
    <definedName name="_xlnm.Print_Area" localSheetId="4">Press!$A$1:$U$24</definedName>
    <definedName name="_xlnm.Print_Area" localSheetId="2">Production!$A$1:$U$55</definedName>
    <definedName name="_xlnm.Print_Area" localSheetId="7">'Spare Parts'!$A$1:$U$75</definedName>
    <definedName name="_xlnm.Print_Area" localSheetId="1">Stationary!$A$1:$U$53</definedName>
    <definedName name="_xlnm.Print_Titles" localSheetId="0">ALL!$9:$10</definedName>
    <definedName name="_xlnm.Print_Titles" localSheetId="8">Chemical!$9:$10</definedName>
    <definedName name="_xlnm.Print_Titles" localSheetId="3">Cleaning!$9:$10</definedName>
    <definedName name="_xlnm.Print_Titles" localSheetId="5">Medical!$9:$10</definedName>
    <definedName name="_xlnm.Print_Titles" localSheetId="6">Needle!$9:$10</definedName>
    <definedName name="_xlnm.Print_Titles" localSheetId="4">Press!$9:$10</definedName>
    <definedName name="_xlnm.Print_Titles" localSheetId="2">Production!$9:$10</definedName>
    <definedName name="_xlnm.Print_Titles" localSheetId="7">'Spare Parts'!$9:$10</definedName>
    <definedName name="_xlnm.Print_Titles" localSheetId="1">Stationary!$9:$10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25" l="1"/>
  <c r="G59" i="3"/>
  <c r="P21" i="33"/>
  <c r="P45" i="22" l="1"/>
  <c r="P46" i="12"/>
  <c r="O175" i="3" l="1"/>
  <c r="N175" i="3"/>
  <c r="I175" i="3"/>
  <c r="P175" i="3" l="1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O30" i="3"/>
  <c r="O31" i="3"/>
  <c r="O33" i="3"/>
  <c r="O34" i="3"/>
  <c r="O39" i="3"/>
  <c r="O46" i="3"/>
  <c r="O47" i="3"/>
  <c r="O48" i="3"/>
  <c r="O50" i="3"/>
  <c r="O60" i="3"/>
  <c r="O68" i="3"/>
  <c r="O81" i="3"/>
  <c r="O85" i="3"/>
  <c r="O89" i="3"/>
  <c r="O99" i="3"/>
  <c r="O105" i="3"/>
  <c r="O109" i="3"/>
  <c r="O110" i="3"/>
  <c r="O111" i="3"/>
  <c r="O112" i="3"/>
  <c r="O121" i="3"/>
  <c r="O125" i="3"/>
  <c r="O126" i="3"/>
  <c r="O127" i="3"/>
  <c r="O132" i="3"/>
  <c r="O133" i="3"/>
  <c r="O134" i="3"/>
  <c r="O135" i="3"/>
  <c r="O136" i="3"/>
  <c r="O137" i="3"/>
  <c r="O138" i="3"/>
  <c r="O139" i="3"/>
  <c r="O140" i="3"/>
  <c r="O143" i="3"/>
  <c r="O144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2" i="3"/>
  <c r="O35" i="3"/>
  <c r="O36" i="3"/>
  <c r="O37" i="3"/>
  <c r="O38" i="3"/>
  <c r="O40" i="3"/>
  <c r="O41" i="3"/>
  <c r="O42" i="3"/>
  <c r="O43" i="3"/>
  <c r="O44" i="3"/>
  <c r="O45" i="3"/>
  <c r="O49" i="3"/>
  <c r="O51" i="3"/>
  <c r="O52" i="3"/>
  <c r="O53" i="3"/>
  <c r="O54" i="3"/>
  <c r="O55" i="3"/>
  <c r="O56" i="3"/>
  <c r="O57" i="3"/>
  <c r="O58" i="3"/>
  <c r="O59" i="3"/>
  <c r="O61" i="3"/>
  <c r="O62" i="3"/>
  <c r="O63" i="3"/>
  <c r="O64" i="3"/>
  <c r="O65" i="3"/>
  <c r="O66" i="3"/>
  <c r="O67" i="3"/>
  <c r="O69" i="3"/>
  <c r="O70" i="3"/>
  <c r="O71" i="3"/>
  <c r="O72" i="3"/>
  <c r="O73" i="3"/>
  <c r="O74" i="3"/>
  <c r="O75" i="3"/>
  <c r="O76" i="3"/>
  <c r="O77" i="3"/>
  <c r="O78" i="3"/>
  <c r="O79" i="3"/>
  <c r="O80" i="3"/>
  <c r="O82" i="3"/>
  <c r="O83" i="3"/>
  <c r="O84" i="3"/>
  <c r="O86" i="3"/>
  <c r="O87" i="3"/>
  <c r="O88" i="3"/>
  <c r="O90" i="3"/>
  <c r="O91" i="3"/>
  <c r="O92" i="3"/>
  <c r="O93" i="3"/>
  <c r="O94" i="3"/>
  <c r="O95" i="3"/>
  <c r="O96" i="3"/>
  <c r="O97" i="3"/>
  <c r="O98" i="3"/>
  <c r="O100" i="3"/>
  <c r="O101" i="3"/>
  <c r="O102" i="3"/>
  <c r="O103" i="3"/>
  <c r="O104" i="3"/>
  <c r="O106" i="3"/>
  <c r="O107" i="3"/>
  <c r="O108" i="3"/>
  <c r="O113" i="3"/>
  <c r="O114" i="3"/>
  <c r="O115" i="3"/>
  <c r="O116" i="3"/>
  <c r="O117" i="3"/>
  <c r="O118" i="3"/>
  <c r="O119" i="3"/>
  <c r="O120" i="3"/>
  <c r="O122" i="3"/>
  <c r="O123" i="3"/>
  <c r="O124" i="3"/>
  <c r="O128" i="3"/>
  <c r="O129" i="3"/>
  <c r="O130" i="3"/>
  <c r="O131" i="3"/>
  <c r="O141" i="3"/>
  <c r="O142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6" i="3"/>
  <c r="O12" i="3"/>
  <c r="I12" i="3"/>
  <c r="N30" i="3"/>
  <c r="N31" i="3"/>
  <c r="N33" i="3"/>
  <c r="N34" i="3"/>
  <c r="N39" i="3"/>
  <c r="N46" i="3"/>
  <c r="N47" i="3"/>
  <c r="N48" i="3"/>
  <c r="N50" i="3"/>
  <c r="N60" i="3"/>
  <c r="N68" i="3"/>
  <c r="N81" i="3"/>
  <c r="N85" i="3"/>
  <c r="N89" i="3"/>
  <c r="N99" i="3"/>
  <c r="N105" i="3"/>
  <c r="N109" i="3"/>
  <c r="N110" i="3"/>
  <c r="N111" i="3"/>
  <c r="N112" i="3"/>
  <c r="N121" i="3"/>
  <c r="N125" i="3"/>
  <c r="N126" i="3"/>
  <c r="N127" i="3"/>
  <c r="N132" i="3"/>
  <c r="N133" i="3"/>
  <c r="N134" i="3"/>
  <c r="N135" i="3"/>
  <c r="N136" i="3"/>
  <c r="N137" i="3"/>
  <c r="N138" i="3"/>
  <c r="N139" i="3"/>
  <c r="N140" i="3"/>
  <c r="N143" i="3"/>
  <c r="N144" i="3"/>
  <c r="N168" i="3"/>
  <c r="P144" i="3" l="1"/>
  <c r="P127" i="3"/>
  <c r="P81" i="3"/>
  <c r="P132" i="3"/>
  <c r="P85" i="3"/>
  <c r="P30" i="3"/>
  <c r="P68" i="3"/>
  <c r="P126" i="3"/>
  <c r="P143" i="3"/>
  <c r="P140" i="3"/>
  <c r="P125" i="3"/>
  <c r="P60" i="3"/>
  <c r="P139" i="3"/>
  <c r="P121" i="3"/>
  <c r="P50" i="3"/>
  <c r="P112" i="3"/>
  <c r="P48" i="3"/>
  <c r="P111" i="3"/>
  <c r="P138" i="3"/>
  <c r="P137" i="3"/>
  <c r="P47" i="3"/>
  <c r="P135" i="3"/>
  <c r="P109" i="3"/>
  <c r="P39" i="3"/>
  <c r="P134" i="3"/>
  <c r="P34" i="3"/>
  <c r="P99" i="3"/>
  <c r="P33" i="3"/>
  <c r="P105" i="3"/>
  <c r="P133" i="3"/>
  <c r="P89" i="3"/>
  <c r="P31" i="3"/>
  <c r="P136" i="3"/>
  <c r="P110" i="3"/>
  <c r="P46" i="3"/>
  <c r="P168" i="3"/>
  <c r="N56" i="3"/>
  <c r="P56" i="3" s="1"/>
  <c r="N38" i="3"/>
  <c r="P38" i="3" s="1"/>
  <c r="N67" i="3"/>
  <c r="P67" i="3" s="1"/>
  <c r="N62" i="3"/>
  <c r="P62" i="3" s="1"/>
  <c r="N71" i="3"/>
  <c r="P71" i="3" s="1"/>
  <c r="N18" i="3"/>
  <c r="P18" i="3" s="1"/>
  <c r="N103" i="3"/>
  <c r="P103" i="3" s="1"/>
  <c r="N130" i="3"/>
  <c r="P130" i="3" s="1"/>
  <c r="N116" i="3"/>
  <c r="P116" i="3" s="1"/>
  <c r="N35" i="3"/>
  <c r="P35" i="3" s="1"/>
  <c r="N27" i="3"/>
  <c r="P27" i="3" s="1"/>
  <c r="N158" i="3"/>
  <c r="P158" i="3" s="1"/>
  <c r="N14" i="3"/>
  <c r="P14" i="3" s="1"/>
  <c r="N107" i="3"/>
  <c r="P107" i="3" s="1"/>
  <c r="N57" i="3"/>
  <c r="P57" i="3" s="1"/>
  <c r="N166" i="3"/>
  <c r="P166" i="3" s="1"/>
  <c r="N84" i="3"/>
  <c r="P84" i="3" s="1"/>
  <c r="N100" i="3"/>
  <c r="P100" i="3" s="1"/>
  <c r="N169" i="3"/>
  <c r="P169" i="3" s="1"/>
  <c r="N70" i="3"/>
  <c r="P70" i="3" s="1"/>
  <c r="N148" i="3"/>
  <c r="P148" i="3" s="1"/>
  <c r="N26" i="3"/>
  <c r="P26" i="3" s="1"/>
  <c r="N61" i="3"/>
  <c r="P61" i="3" s="1"/>
  <c r="N51" i="3"/>
  <c r="P51" i="3" s="1"/>
  <c r="N22" i="3"/>
  <c r="P22" i="3" s="1"/>
  <c r="N106" i="3"/>
  <c r="P106" i="3" s="1"/>
  <c r="N149" i="3"/>
  <c r="P149" i="3" s="1"/>
  <c r="N131" i="3"/>
  <c r="P131" i="3" s="1"/>
  <c r="N113" i="3"/>
  <c r="P113" i="3" s="1"/>
  <c r="N12" i="3"/>
  <c r="P12" i="3" s="1"/>
  <c r="N40" i="3"/>
  <c r="P40" i="3" s="1"/>
  <c r="N117" i="3"/>
  <c r="P117" i="3" s="1"/>
  <c r="N122" i="3"/>
  <c r="P122" i="3" s="1"/>
  <c r="N16" i="3"/>
  <c r="P16" i="3" s="1"/>
  <c r="N58" i="3"/>
  <c r="P58" i="3" s="1"/>
  <c r="N170" i="3"/>
  <c r="P170" i="3" s="1"/>
  <c r="N154" i="3"/>
  <c r="P154" i="3" s="1"/>
  <c r="N69" i="3"/>
  <c r="P69" i="3" s="1"/>
  <c r="N161" i="3"/>
  <c r="P161" i="3" s="1"/>
  <c r="N102" i="3"/>
  <c r="P102" i="3" s="1"/>
  <c r="N76" i="3"/>
  <c r="P76" i="3" s="1"/>
  <c r="N15" i="3"/>
  <c r="P15" i="3" s="1"/>
  <c r="N65" i="3"/>
  <c r="P65" i="3" s="1"/>
  <c r="N118" i="3"/>
  <c r="P118" i="3" s="1"/>
  <c r="N52" i="3"/>
  <c r="P52" i="3" s="1"/>
  <c r="N43" i="3"/>
  <c r="P43" i="3" s="1"/>
  <c r="N172" i="3"/>
  <c r="P172" i="3" s="1"/>
  <c r="N21" i="3"/>
  <c r="P21" i="3" s="1"/>
  <c r="N159" i="3"/>
  <c r="P159" i="3" s="1"/>
  <c r="N77" i="3"/>
  <c r="P77" i="3" s="1"/>
  <c r="N150" i="3"/>
  <c r="P150" i="3" s="1"/>
  <c r="N23" i="3" l="1"/>
  <c r="P23" i="3" s="1"/>
  <c r="N164" i="3"/>
  <c r="P164" i="3" s="1"/>
  <c r="N32" i="3"/>
  <c r="P32" i="3" s="1"/>
  <c r="N87" i="3"/>
  <c r="P87" i="3" s="1"/>
  <c r="N142" i="3"/>
  <c r="P142" i="3" s="1"/>
  <c r="N93" i="3"/>
  <c r="P93" i="3" s="1"/>
  <c r="N97" i="3"/>
  <c r="P97" i="3" s="1"/>
  <c r="N28" i="3"/>
  <c r="P28" i="3" s="1"/>
  <c r="N94" i="3"/>
  <c r="P94" i="3" s="1"/>
  <c r="N88" i="3"/>
  <c r="P88" i="3" s="1"/>
  <c r="N146" i="3"/>
  <c r="P146" i="3" s="1"/>
  <c r="N141" i="3"/>
  <c r="P141" i="3" s="1"/>
  <c r="N115" i="3"/>
  <c r="P115" i="3" s="1"/>
  <c r="N114" i="3"/>
  <c r="P114" i="3" s="1"/>
  <c r="N171" i="3"/>
  <c r="P171" i="3" s="1"/>
  <c r="N104" i="3"/>
  <c r="P104" i="3" s="1"/>
  <c r="N92" i="3"/>
  <c r="P92" i="3" s="1"/>
  <c r="N162" i="3"/>
  <c r="P162" i="3" s="1"/>
  <c r="N19" i="3"/>
  <c r="P19" i="3" s="1"/>
  <c r="N147" i="3"/>
  <c r="P147" i="3" s="1"/>
  <c r="N73" i="3"/>
  <c r="P73" i="3" s="1"/>
  <c r="N75" i="3"/>
  <c r="P75" i="3" s="1"/>
  <c r="N165" i="3"/>
  <c r="P165" i="3" s="1"/>
  <c r="N41" i="3"/>
  <c r="P41" i="3" s="1"/>
  <c r="N129" i="3"/>
  <c r="P129" i="3" s="1"/>
  <c r="N95" i="3"/>
  <c r="P95" i="3" s="1"/>
  <c r="N123" i="3"/>
  <c r="P123" i="3" s="1"/>
  <c r="N13" i="3"/>
  <c r="P13" i="3" s="1"/>
  <c r="N98" i="3"/>
  <c r="P98" i="3" s="1"/>
  <c r="N79" i="3"/>
  <c r="P79" i="3" s="1"/>
  <c r="N108" i="3"/>
  <c r="P108" i="3" s="1"/>
  <c r="N49" i="3"/>
  <c r="P49" i="3" s="1"/>
  <c r="N45" i="3"/>
  <c r="P45" i="3" s="1"/>
  <c r="N145" i="3"/>
  <c r="P145" i="3" s="1"/>
  <c r="N91" i="3"/>
  <c r="P91" i="3" s="1"/>
  <c r="N157" i="3"/>
  <c r="P157" i="3" s="1"/>
  <c r="N128" i="3"/>
  <c r="P128" i="3" s="1"/>
  <c r="N82" i="3"/>
  <c r="P82" i="3" s="1"/>
  <c r="N36" i="3"/>
  <c r="P36" i="3" s="1"/>
  <c r="N53" i="3"/>
  <c r="P53" i="3" s="1"/>
  <c r="N101" i="3"/>
  <c r="P101" i="3" s="1"/>
  <c r="N151" i="3"/>
  <c r="P151" i="3" s="1"/>
  <c r="N152" i="3"/>
  <c r="P152" i="3" s="1"/>
  <c r="N66" i="3"/>
  <c r="P66" i="3" s="1"/>
  <c r="N83" i="3"/>
  <c r="P83" i="3" s="1"/>
  <c r="N80" i="3"/>
  <c r="P80" i="3" s="1"/>
  <c r="N155" i="3"/>
  <c r="P155" i="3" s="1"/>
  <c r="N54" i="3"/>
  <c r="P54" i="3" s="1"/>
  <c r="N156" i="3"/>
  <c r="P156" i="3" s="1"/>
  <c r="N119" i="3"/>
  <c r="P119" i="3" s="1"/>
  <c r="N20" i="3"/>
  <c r="P20" i="3" s="1"/>
  <c r="N37" i="3"/>
  <c r="P37" i="3" s="1"/>
  <c r="N86" i="3"/>
  <c r="P86" i="3" s="1"/>
  <c r="N44" i="3"/>
  <c r="P44" i="3" s="1"/>
  <c r="N124" i="3"/>
  <c r="P124" i="3" s="1"/>
  <c r="N55" i="3"/>
  <c r="P55" i="3" s="1"/>
  <c r="N24" i="3"/>
  <c r="P24" i="3" s="1"/>
  <c r="N29" i="3"/>
  <c r="P29" i="3" s="1"/>
  <c r="N120" i="3"/>
  <c r="P120" i="3" s="1"/>
  <c r="N173" i="3"/>
  <c r="P173" i="3" s="1"/>
  <c r="N176" i="3"/>
  <c r="P176" i="3" s="1"/>
  <c r="N167" i="3"/>
  <c r="P167" i="3" s="1"/>
  <c r="N153" i="3"/>
  <c r="P153" i="3" s="1"/>
  <c r="N160" i="3"/>
  <c r="P160" i="3" s="1"/>
  <c r="N78" i="3"/>
  <c r="P78" i="3" s="1"/>
  <c r="N72" i="3"/>
  <c r="P72" i="3" s="1"/>
  <c r="N96" i="3"/>
  <c r="P96" i="3" s="1"/>
  <c r="N90" i="3"/>
  <c r="P90" i="3" s="1"/>
  <c r="N163" i="3"/>
  <c r="P163" i="3" s="1"/>
  <c r="N59" i="3"/>
  <c r="P59" i="3" s="1"/>
  <c r="N63" i="3"/>
  <c r="P63" i="3" s="1"/>
  <c r="N74" i="3"/>
  <c r="P74" i="3" s="1"/>
  <c r="N174" i="3"/>
  <c r="P174" i="3" s="1"/>
  <c r="N25" i="3"/>
  <c r="P25" i="3" s="1"/>
  <c r="N64" i="3"/>
  <c r="P64" i="3" s="1"/>
  <c r="N42" i="3"/>
  <c r="P42" i="3" s="1"/>
  <c r="N17" i="3"/>
  <c r="P17" i="3" s="1"/>
  <c r="P177" i="3" l="1"/>
  <c r="O11" i="28" l="1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H11" i="28" l="1"/>
  <c r="J11" i="28"/>
  <c r="I11" i="28" s="1"/>
  <c r="H12" i="28"/>
  <c r="J12" i="28"/>
  <c r="I12" i="28" s="1"/>
  <c r="H13" i="28"/>
  <c r="J13" i="28"/>
  <c r="I13" i="28" s="1"/>
  <c r="H14" i="28"/>
  <c r="J14" i="28"/>
  <c r="I14" i="28" s="1"/>
  <c r="H15" i="28"/>
  <c r="J15" i="28"/>
  <c r="I15" i="28" s="1"/>
  <c r="H16" i="28"/>
  <c r="J16" i="28"/>
  <c r="I16" i="28" s="1"/>
  <c r="H17" i="28"/>
  <c r="J17" i="28"/>
  <c r="I17" i="28" s="1"/>
  <c r="H18" i="28"/>
  <c r="J18" i="28"/>
  <c r="I18" i="28" s="1"/>
  <c r="H19" i="28"/>
  <c r="J19" i="28"/>
  <c r="I19" i="28" s="1"/>
  <c r="H20" i="28"/>
  <c r="J20" i="28"/>
  <c r="I20" i="28" s="1"/>
  <c r="H21" i="28"/>
  <c r="J21" i="28"/>
  <c r="I21" i="28" s="1"/>
  <c r="H22" i="28"/>
  <c r="J22" i="28"/>
  <c r="I22" i="28" s="1"/>
  <c r="H23" i="28"/>
  <c r="J23" i="28"/>
  <c r="I23" i="28" s="1"/>
  <c r="H24" i="28"/>
  <c r="J24" i="28"/>
  <c r="I24" i="28" s="1"/>
  <c r="H25" i="28"/>
  <c r="J25" i="28"/>
  <c r="I25" i="28" s="1"/>
  <c r="H26" i="28"/>
  <c r="J26" i="28"/>
  <c r="I26" i="28" s="1"/>
  <c r="H27" i="28"/>
  <c r="J27" i="28"/>
  <c r="I27" i="28" s="1"/>
  <c r="P68" i="26"/>
  <c r="P15" i="27"/>
  <c r="N17" i="28" l="1"/>
  <c r="P17" i="28" s="1"/>
  <c r="N23" i="28"/>
  <c r="P23" i="28" s="1"/>
  <c r="N27" i="28"/>
  <c r="P27" i="28" s="1"/>
  <c r="N16" i="28"/>
  <c r="P16" i="28" s="1"/>
  <c r="N22" i="28"/>
  <c r="P22" i="28" s="1"/>
  <c r="N15" i="28"/>
  <c r="P15" i="28" s="1"/>
  <c r="N21" i="28"/>
  <c r="P21" i="28" s="1"/>
  <c r="N14" i="28"/>
  <c r="P14" i="28" s="1"/>
  <c r="N19" i="28"/>
  <c r="P19" i="28" s="1"/>
  <c r="N12" i="28"/>
  <c r="P12" i="28" s="1"/>
  <c r="N25" i="28"/>
  <c r="P25" i="28" s="1"/>
  <c r="N18" i="28"/>
  <c r="P18" i="28" s="1"/>
  <c r="N11" i="28"/>
  <c r="P11" i="28" s="1"/>
  <c r="N24" i="28"/>
  <c r="P24" i="28" s="1"/>
  <c r="N26" i="28"/>
  <c r="P26" i="28" s="1"/>
  <c r="N20" i="28"/>
  <c r="P20" i="28" s="1"/>
  <c r="N13" i="28"/>
  <c r="P13" i="28" s="1"/>
  <c r="P13" i="29" l="1"/>
  <c r="E8" i="33"/>
  <c r="E7" i="33"/>
  <c r="E6" i="33"/>
  <c r="E5" i="33"/>
  <c r="E4" i="33"/>
  <c r="E3" i="33"/>
  <c r="E8" i="29"/>
  <c r="E7" i="29"/>
  <c r="E6" i="29"/>
  <c r="E5" i="29"/>
  <c r="E4" i="29"/>
  <c r="E3" i="29"/>
  <c r="E8" i="28"/>
  <c r="E7" i="28"/>
  <c r="E6" i="28"/>
  <c r="E5" i="28"/>
  <c r="E4" i="28"/>
  <c r="E3" i="28"/>
  <c r="E8" i="27"/>
  <c r="E7" i="27"/>
  <c r="E6" i="27"/>
  <c r="E5" i="27"/>
  <c r="E4" i="27"/>
  <c r="E3" i="27"/>
  <c r="E8" i="26"/>
  <c r="E7" i="26"/>
  <c r="E6" i="26"/>
  <c r="E5" i="26"/>
  <c r="E4" i="26"/>
  <c r="E3" i="26"/>
  <c r="E8" i="25"/>
  <c r="E7" i="25"/>
  <c r="E6" i="25"/>
  <c r="E5" i="25"/>
  <c r="E4" i="25"/>
  <c r="E3" i="25"/>
  <c r="E8" i="22"/>
  <c r="E7" i="22"/>
  <c r="E6" i="22"/>
  <c r="E5" i="22"/>
  <c r="E4" i="22"/>
  <c r="E3" i="22"/>
  <c r="E8" i="12"/>
  <c r="E7" i="12"/>
  <c r="E6" i="12"/>
  <c r="E5" i="12"/>
  <c r="E4" i="12"/>
  <c r="E3" i="12"/>
  <c r="P28" i="28" l="1"/>
</calcChain>
</file>

<file path=xl/sharedStrings.xml><?xml version="1.0" encoding="utf-8"?>
<sst xmlns="http://schemas.openxmlformats.org/spreadsheetml/2006/main" count="2182" uniqueCount="359">
  <si>
    <t>Humana Apparels Pvt Ltd.</t>
  </si>
  <si>
    <t xml:space="preserve">Requisition No </t>
  </si>
  <si>
    <t>Requisition Date</t>
  </si>
  <si>
    <t>Name of Unit</t>
  </si>
  <si>
    <t xml:space="preserve">Section </t>
  </si>
  <si>
    <t>Name of User</t>
  </si>
  <si>
    <t xml:space="preserve">Contact No. / Email </t>
  </si>
  <si>
    <t>SL</t>
  </si>
  <si>
    <t>Name of Item's</t>
  </si>
  <si>
    <t>Specification / Brand &amp; Model</t>
  </si>
  <si>
    <t>Type (Replace/ New)</t>
  </si>
  <si>
    <t>Stock Details</t>
  </si>
  <si>
    <t>Last Purchase Details</t>
  </si>
  <si>
    <t>To Be Procured</t>
  </si>
  <si>
    <t>Store Acknowledgement on GRN</t>
  </si>
  <si>
    <t>Accounts Acknowledgment on Pmt</t>
  </si>
  <si>
    <t>Remarks</t>
  </si>
  <si>
    <t>Qty Requested</t>
  </si>
  <si>
    <t>Stock in Hand</t>
  </si>
  <si>
    <t>Saftey Stock</t>
  </si>
  <si>
    <t>Consumption (Last Month)</t>
  </si>
  <si>
    <t>Qty</t>
  </si>
  <si>
    <t>Date</t>
  </si>
  <si>
    <t>Rate Appx.</t>
  </si>
  <si>
    <t xml:space="preserve">Amount </t>
  </si>
  <si>
    <t>Signature</t>
  </si>
  <si>
    <t>Prepared by</t>
  </si>
  <si>
    <t>Store</t>
  </si>
  <si>
    <t>Checked by</t>
  </si>
  <si>
    <t>Approved by</t>
  </si>
  <si>
    <t>Uom</t>
  </si>
  <si>
    <t>Approx Rate</t>
  </si>
  <si>
    <t>Pending
Qty</t>
  </si>
  <si>
    <t>User Dept./ Section</t>
  </si>
  <si>
    <t>Purchase Requisition</t>
  </si>
  <si>
    <t>Total-</t>
  </si>
  <si>
    <t>ALL</t>
  </si>
  <si>
    <t>Pcs</t>
  </si>
  <si>
    <t>Offset Paper-A4 Size</t>
  </si>
  <si>
    <t>Ream</t>
  </si>
  <si>
    <t>Pkt</t>
  </si>
  <si>
    <t>Box</t>
  </si>
  <si>
    <t>New</t>
  </si>
  <si>
    <t>Kg</t>
  </si>
  <si>
    <t>Production</t>
  </si>
  <si>
    <t>Ltr</t>
  </si>
  <si>
    <t>Cutting</t>
  </si>
  <si>
    <t>Masking Tape-01"</t>
  </si>
  <si>
    <t>Kerosene Oil</t>
  </si>
  <si>
    <t>HRAC</t>
  </si>
  <si>
    <t>Harpic Liquid-750ml</t>
  </si>
  <si>
    <t>Printer Cartridge-HP 45</t>
  </si>
  <si>
    <t>Humana Apparels Pvt. Ltd.</t>
  </si>
  <si>
    <t>Bleaching Powder</t>
  </si>
  <si>
    <t>Napkin Tissue</t>
  </si>
  <si>
    <t>Thread Cutter</t>
  </si>
  <si>
    <t>Marker Paper (Loose)-64"</t>
  </si>
  <si>
    <t>Finishing</t>
  </si>
  <si>
    <t>Odonil Air Freshner</t>
  </si>
  <si>
    <t>Jesmin</t>
  </si>
  <si>
    <t>Pair</t>
  </si>
  <si>
    <t xml:space="preserve"> </t>
  </si>
  <si>
    <t>Single Jersy Fabrics</t>
  </si>
  <si>
    <t>64 Inch</t>
  </si>
  <si>
    <t>Single Jersey</t>
  </si>
  <si>
    <t>Chemical-PSV Plus 250ml</t>
  </si>
  <si>
    <t>Chemical- Panil 250ml</t>
  </si>
  <si>
    <t>Store
Acknowledgement on GRN</t>
  </si>
  <si>
    <t>Book</t>
  </si>
  <si>
    <t>ebrahim@humanaapparels.com</t>
  </si>
  <si>
    <t>Surgical Face Mask</t>
  </si>
  <si>
    <t>Chemical-ISV 250ml</t>
  </si>
  <si>
    <t>Spot Lifter 833-400ml</t>
  </si>
  <si>
    <t>Yellow Paint</t>
  </si>
  <si>
    <t>Calculator CD-120</t>
  </si>
  <si>
    <t>Quilting M/C DC LED light</t>
  </si>
  <si>
    <t>24V</t>
  </si>
  <si>
    <t>BS-6PC</t>
  </si>
  <si>
    <t>C/M Sticker Ink/Blitz Ink</t>
  </si>
  <si>
    <t>Blidz ( Roller)</t>
  </si>
  <si>
    <t>Galon</t>
  </si>
  <si>
    <t>Phenyle Floor Cleaner (3 Ltr Jar)</t>
  </si>
  <si>
    <t>05 Ltt Jar</t>
  </si>
  <si>
    <t>Glass Cleaner-350ml</t>
  </si>
  <si>
    <t>Washroom Uses Sandle</t>
  </si>
  <si>
    <t>P/M Needle DBX1-R-09</t>
  </si>
  <si>
    <t>Steam Iron Shoe-BS6PC</t>
  </si>
  <si>
    <t>Coil</t>
  </si>
  <si>
    <t>Accounts
Acknowledgment on Pmt</t>
  </si>
  <si>
    <t>Fresh Soft</t>
  </si>
  <si>
    <t>Naphthalene</t>
  </si>
  <si>
    <t>Pvc Elbow-3/4"</t>
  </si>
  <si>
    <t>Gel Pen-Silver</t>
  </si>
  <si>
    <t>Both Side Tape 01cm White</t>
  </si>
  <si>
    <t>Gum Tape 01" Transparent</t>
  </si>
  <si>
    <t>Gum Tape 2.5" Transparent</t>
  </si>
  <si>
    <t>Chemical-Oil Remover 01 Ltr</t>
  </si>
  <si>
    <t xml:space="preserve">NC Thinner  </t>
  </si>
  <si>
    <t>Broom Flower</t>
  </si>
  <si>
    <t>Bashundara</t>
  </si>
  <si>
    <t>Cosco Soap-Mini</t>
  </si>
  <si>
    <t>Metal Flexible Pipe 1/2"</t>
  </si>
  <si>
    <t>White</t>
  </si>
  <si>
    <t>-</t>
  </si>
  <si>
    <t>Mineral Water-330ml</t>
  </si>
  <si>
    <t>Tibbat Ball Soap</t>
  </si>
  <si>
    <t>Pencil Cutter/ Sharpner</t>
  </si>
  <si>
    <t>Finger Balloon</t>
  </si>
  <si>
    <t>Scissors QX-10"</t>
  </si>
  <si>
    <t>Abrasive Belt</t>
  </si>
  <si>
    <t>KM (Abrasive Belts) Original</t>
  </si>
  <si>
    <t>100 page</t>
  </si>
  <si>
    <t>Cutting Quality Control Report</t>
  </si>
  <si>
    <t>Lay Report Book</t>
  </si>
  <si>
    <t>Red Paint</t>
  </si>
  <si>
    <t>Vim Dishwashing Liquid 500ml</t>
  </si>
  <si>
    <t xml:space="preserve">Handwash Liquied 5ltr Jar </t>
  </si>
  <si>
    <t>Life Boy</t>
  </si>
  <si>
    <t>Vixol Power-1000ml</t>
  </si>
  <si>
    <t>Cutting Machine Knife Screw</t>
  </si>
  <si>
    <t xml:space="preserve">P/M Auto Bobbin Winder Rubber </t>
  </si>
  <si>
    <t>T/N Needle DPX5-R-11</t>
  </si>
  <si>
    <t>Pvc Pipe-3/4''</t>
  </si>
  <si>
    <t>Tailors Chalk</t>
  </si>
  <si>
    <t>amirul@humanaapparels.com</t>
  </si>
  <si>
    <t>Store Personnel</t>
  </si>
  <si>
    <t>Store &amp; Warehouse</t>
  </si>
  <si>
    <t>Md. Ebrahim</t>
  </si>
  <si>
    <t>Sr. Executive</t>
  </si>
  <si>
    <t>01839-004906</t>
  </si>
  <si>
    <t>P/M Plastic Guide 1/16 CR</t>
  </si>
  <si>
    <t>Rubban Tin</t>
  </si>
  <si>
    <t>Tooth Brush</t>
  </si>
  <si>
    <t>Lizol Floor Cleaner-1000ml</t>
  </si>
  <si>
    <t>Toilet Tissue</t>
  </si>
  <si>
    <t>Garbage Polybag</t>
  </si>
  <si>
    <t>Machine Oil-32 Grade</t>
  </si>
  <si>
    <t>Mtr</t>
  </si>
  <si>
    <t>Adhesive Paper-A4 Size-Brown</t>
  </si>
  <si>
    <t>Denim Pen-56</t>
  </si>
  <si>
    <t>Printer Cartridge-87 A</t>
  </si>
  <si>
    <t>C/M Metal Hand Gloves</t>
  </si>
  <si>
    <t>C/M Numbering Sticker-PPH</t>
  </si>
  <si>
    <t>Poly-26x42"</t>
  </si>
  <si>
    <t>60"/32"</t>
  </si>
  <si>
    <t>56"/32</t>
  </si>
  <si>
    <t>8mm</t>
  </si>
  <si>
    <t>TCH-CF287A</t>
  </si>
  <si>
    <t>2.5 Inch</t>
  </si>
  <si>
    <t>Prokash (HRD Gum)</t>
  </si>
  <si>
    <t>6030w</t>
  </si>
  <si>
    <t>All</t>
  </si>
  <si>
    <t>Ball Pen-Black</t>
  </si>
  <si>
    <t>CD-DVD Marker Pen</t>
  </si>
  <si>
    <t>Ereasser/Rubber</t>
  </si>
  <si>
    <t>Marker Pen-Permanent</t>
  </si>
  <si>
    <t>Deli Brand</t>
  </si>
  <si>
    <t>Cutting Knife-10"</t>
  </si>
  <si>
    <t>10 Inch</t>
  </si>
  <si>
    <t>Hi-Light Pen-Green</t>
  </si>
  <si>
    <t xml:space="preserve">Matador </t>
  </si>
  <si>
    <t>C/M Numbering Ink-Silver</t>
  </si>
  <si>
    <t>Pione</t>
  </si>
  <si>
    <t>Sepnil</t>
  </si>
  <si>
    <t>Laminating Paper-A4 Size</t>
  </si>
  <si>
    <t>Battary</t>
  </si>
  <si>
    <t>Hand Towel Tissue</t>
  </si>
  <si>
    <t>Cleaning</t>
  </si>
  <si>
    <t>Maintenance</t>
  </si>
  <si>
    <t>B/T Eye Glass</t>
  </si>
  <si>
    <t>Combination Spanner-07mm</t>
  </si>
  <si>
    <t>Combination Spanner-08mm</t>
  </si>
  <si>
    <t>Combination Spanner-10mm</t>
  </si>
  <si>
    <t>Combination Spanner-11mm</t>
  </si>
  <si>
    <t>Combination Spanner-12mm</t>
  </si>
  <si>
    <t>Balck</t>
  </si>
  <si>
    <t>Ceiling Fan Capacitor 2.5MF</t>
  </si>
  <si>
    <t>2.5MF</t>
  </si>
  <si>
    <t>Vaccum Iron Table Motor Fan</t>
  </si>
  <si>
    <t>Semans</t>
  </si>
  <si>
    <t>Circuit Breaker SP-04A(ABB)</t>
  </si>
  <si>
    <t>ABB</t>
  </si>
  <si>
    <t>Cutting Disk-04"</t>
  </si>
  <si>
    <t>Cable Clip-8mm</t>
  </si>
  <si>
    <t>Royal Bolt SS-12mm</t>
  </si>
  <si>
    <t>Air Pipe-08mm</t>
  </si>
  <si>
    <t>Air Solenoid Valve- Sy5120-SG-01</t>
  </si>
  <si>
    <t>SY5120-5G-01</t>
  </si>
  <si>
    <t>Anty Cutter-18mm</t>
  </si>
  <si>
    <t>Poly-50 x 70 cm</t>
  </si>
  <si>
    <t>Poly-80 x 90 cm</t>
  </si>
  <si>
    <t>Both side fusing interlining</t>
  </si>
  <si>
    <t>User Dept./
Section</t>
  </si>
  <si>
    <t>Medical</t>
  </si>
  <si>
    <t>Tablet (10 mg)</t>
  </si>
  <si>
    <t>Tablet (400 mg)</t>
  </si>
  <si>
    <t>Tablet (20 mg + 40 mg)</t>
  </si>
  <si>
    <t>Tablet (5 mg)</t>
  </si>
  <si>
    <t>Tablet (8 mg)</t>
  </si>
  <si>
    <t>Chewable Tablet</t>
  </si>
  <si>
    <t>Tablet (120 mg)</t>
  </si>
  <si>
    <t>Tablet (100 mg)</t>
  </si>
  <si>
    <t>Tablet (2 mg)</t>
  </si>
  <si>
    <t>Tablet (20 mg)</t>
  </si>
  <si>
    <t>Tablet (50 mg)</t>
  </si>
  <si>
    <t>Formulation Unit</t>
  </si>
  <si>
    <t>Cream Tube</t>
  </si>
  <si>
    <t>Specification /
Brand &amp; Model</t>
  </si>
  <si>
    <t>Pound</t>
  </si>
  <si>
    <t>HR</t>
  </si>
  <si>
    <t>HAPL/Dept./ALL/2026/August/01</t>
  </si>
  <si>
    <t>Measurement Tape-Lace</t>
  </si>
  <si>
    <t>Binder Register Khata-16</t>
  </si>
  <si>
    <t>P/M Plastic Plain Feet</t>
  </si>
  <si>
    <t>P/M Plastic Zipper Guide-Both</t>
  </si>
  <si>
    <t>Foam Tape-3.4 Feet</t>
  </si>
  <si>
    <t>Pvc Sheet (6'X3')-0.5mm</t>
  </si>
  <si>
    <t>shead label  a- h per size 600pies</t>
  </si>
  <si>
    <t>avaalble size label  xs .s.m.l.xl.xxl  per size 200</t>
  </si>
  <si>
    <t>interlining biskut item 1060 (for pin hole ) rotex bd</t>
  </si>
  <si>
    <t>Virgin Paper-48"</t>
  </si>
  <si>
    <t>Marker Paper (Intake)-64"</t>
  </si>
  <si>
    <t>Ball Pen-Red</t>
  </si>
  <si>
    <t>Stick Up Liquid Glue-50ml</t>
  </si>
  <si>
    <t>Deli</t>
  </si>
  <si>
    <t>Printer Cartridge-LBP 6030W</t>
  </si>
  <si>
    <t>Poly-18" x 26"</t>
  </si>
  <si>
    <t>Length 26", width 18"</t>
  </si>
  <si>
    <t>Poly-28" x 22"</t>
  </si>
  <si>
    <t>KG</t>
  </si>
  <si>
    <t>Length 28", width 22"</t>
  </si>
  <si>
    <t xml:space="preserve">Savlon </t>
  </si>
  <si>
    <t>Litter</t>
  </si>
  <si>
    <t>EPSON Refill INK Bottle</t>
  </si>
  <si>
    <t xml:space="preserve">EPSON Ecotank (C=1,M=1,Y=1,K=1) </t>
  </si>
  <si>
    <t>Sample +Cad</t>
  </si>
  <si>
    <t>Ear Plug</t>
  </si>
  <si>
    <t>Binder Clip-32mm</t>
  </si>
  <si>
    <t>Small Size</t>
  </si>
  <si>
    <t>MUM</t>
  </si>
  <si>
    <t>Colling Bell Remort</t>
  </si>
  <si>
    <t>Mop Small Size</t>
  </si>
  <si>
    <t>Wheel Detergent Powder</t>
  </si>
  <si>
    <t>Toilet Hand Brush</t>
  </si>
  <si>
    <t>Toilet Round Broush</t>
  </si>
  <si>
    <t>Connection Pipe-48"</t>
  </si>
  <si>
    <t>48"</t>
  </si>
  <si>
    <t>Drwar Lock</t>
  </si>
  <si>
    <t xml:space="preserve">Chemical-B.P.S </t>
  </si>
  <si>
    <t>Chemical-Print Clean</t>
  </si>
  <si>
    <t>CNR</t>
  </si>
  <si>
    <t>pcs</t>
  </si>
  <si>
    <t>Chemical HP-10</t>
  </si>
  <si>
    <t>Must be Printing 
Page</t>
  </si>
  <si>
    <t>Denim Pen-82</t>
  </si>
  <si>
    <t>Color Mix Bati</t>
  </si>
  <si>
    <t>Plastic</t>
  </si>
  <si>
    <t>Hi-Light Pen-Yellow</t>
  </si>
  <si>
    <t>Paper Weight</t>
  </si>
  <si>
    <t>Account</t>
  </si>
  <si>
    <t>Numbering Cutting Tuly</t>
  </si>
  <si>
    <t>C/M Numbering Sticker-Medium</t>
  </si>
  <si>
    <t>Prokash (Medium Gum)</t>
  </si>
  <si>
    <t>Glue Stick-15gm</t>
  </si>
  <si>
    <t>Pencil Battery AAA</t>
  </si>
  <si>
    <t xml:space="preserve">Sunlite - AAA </t>
  </si>
  <si>
    <t>Polyethene -72"</t>
  </si>
  <si>
    <t>Width 60" (30 Micron)</t>
  </si>
  <si>
    <t>Pvc Sheet (6'X3')-01mm</t>
  </si>
  <si>
    <t>01mm</t>
  </si>
  <si>
    <t>Pvc Sheet (6'X3')-1.5mm</t>
  </si>
  <si>
    <t>1.5mm</t>
  </si>
  <si>
    <t>02mm</t>
  </si>
  <si>
    <t>Pvc Sheet (8'X4')-02mm</t>
  </si>
  <si>
    <t>Quilting</t>
  </si>
  <si>
    <t>Bin Card</t>
  </si>
  <si>
    <t>PP Poly</t>
  </si>
  <si>
    <t>QC Pass Sticker Printed</t>
  </si>
  <si>
    <t>Page</t>
  </si>
  <si>
    <t>Juki
LK-1900SSS000-A</t>
  </si>
  <si>
    <t>Barther
KE-430DP-03</t>
  </si>
  <si>
    <t>7.8.9.10.11.12</t>
  </si>
  <si>
    <t>F/L Loop Folder-24mm-12mm</t>
  </si>
  <si>
    <t>Inpout-24mm
Outpout-12mm</t>
  </si>
  <si>
    <t>B/T Machine Sattel-Juki</t>
  </si>
  <si>
    <t>B/T Machine Sattel-Brother</t>
  </si>
  <si>
    <t>Brother
KE-430DP-03</t>
  </si>
  <si>
    <t>B/T Machine Ring-Juki</t>
  </si>
  <si>
    <t>B/T Machine Ring-Brother</t>
  </si>
  <si>
    <t>500ml Siliconi Silicone</t>
  </si>
  <si>
    <t>P/M Tension Pust Spring</t>
  </si>
  <si>
    <t>Juki-DDL-900C
40263455</t>
  </si>
  <si>
    <t>Narrow Steam Iron Shoe(Bsp 200 Blue)</t>
  </si>
  <si>
    <t>BSP-200 Blue</t>
  </si>
  <si>
    <t>Fuse-10 Amp</t>
  </si>
  <si>
    <t>2cm</t>
  </si>
  <si>
    <t>Circuit Breaker 4A SP</t>
  </si>
  <si>
    <t>Micro/ Limit Switch-C-25</t>
  </si>
  <si>
    <t>Thread Tape</t>
  </si>
  <si>
    <t>AC Round Type Power 3Pin Socket</t>
  </si>
  <si>
    <t>Battery drill Machine Charger</t>
  </si>
  <si>
    <t>Exhust Fan Belt B-85</t>
  </si>
  <si>
    <t>Exhust Fan Belt B-86</t>
  </si>
  <si>
    <t>Silicon For MDB Board</t>
  </si>
  <si>
    <t>13"/25"</t>
  </si>
  <si>
    <t>40"/4"</t>
  </si>
  <si>
    <t>Plotter Machine Head Moving Wheel</t>
  </si>
  <si>
    <t>MS Elbow-1.5"</t>
  </si>
  <si>
    <t xml:space="preserve">40Sch </t>
  </si>
  <si>
    <t>Electric  Tester</t>
  </si>
  <si>
    <t>Super Star</t>
  </si>
  <si>
    <t>Production/Quilting</t>
  </si>
  <si>
    <t>Production/Cutting</t>
  </si>
  <si>
    <t xml:space="preserve">Production/Finishing </t>
  </si>
  <si>
    <t xml:space="preserve">B/T Eye Glass-Juki </t>
  </si>
  <si>
    <t>Iron Table Foam-60"/32"</t>
  </si>
  <si>
    <t>Iron Table Foam-56"/32"</t>
  </si>
  <si>
    <t>Heat machine Foam-13"/25"</t>
  </si>
  <si>
    <t>Heat machine Foam- 40"/4"</t>
  </si>
  <si>
    <t>Finishing/Cutting/Store</t>
  </si>
  <si>
    <t>Cutting/Quilting</t>
  </si>
  <si>
    <t>Staff ID Card</t>
  </si>
  <si>
    <t>Poly-40x35"</t>
  </si>
  <si>
    <t>Accounts
Acknowledgement on Pmt</t>
  </si>
  <si>
    <t>Sample
Store</t>
  </si>
  <si>
    <t>Account
Production</t>
  </si>
  <si>
    <t>Chemical</t>
  </si>
  <si>
    <t>Store
Production</t>
  </si>
  <si>
    <t>Production/Sample/
Cad/Cutting</t>
  </si>
  <si>
    <t>Drill machine battery</t>
  </si>
  <si>
    <t>Sample+Cad</t>
  </si>
  <si>
    <t>Sample+Cad/Account</t>
  </si>
  <si>
    <t>Scent-free balloon
(Good Quality)</t>
  </si>
  <si>
    <t>Size: Medium &amp; Large  (Left Handed)</t>
  </si>
  <si>
    <t>Worker Recruitment Identity Service Book</t>
  </si>
  <si>
    <t>2.  Emistat (8mg) - 100 pcs</t>
  </si>
  <si>
    <t>3.  Napa Extra - 200 pcs</t>
  </si>
  <si>
    <t>4.  Napa (500mg) - 300 pcs</t>
  </si>
  <si>
    <t>5.  Entacyd Plus - 300 pcs</t>
  </si>
  <si>
    <t>6.  Myolax (50mg) - 50 pcs</t>
  </si>
  <si>
    <t>7.  Rolac (10mg) - 40 pcs</t>
  </si>
  <si>
    <t>8.  Algin (50mg) - 100 pcs</t>
  </si>
  <si>
    <t>9.  Flexi (100mg) - 100 pcs</t>
  </si>
  <si>
    <t>10. Zimax (500mg) - 100 pcs</t>
  </si>
  <si>
    <t>11. Etorix (120mg) - 100 pcs</t>
  </si>
  <si>
    <t>12. ORS Saline - 8 box / 200 pcs</t>
  </si>
  <si>
    <t>13. Savlon Solution (1000ml) - 1 pcs</t>
  </si>
  <si>
    <t>14. One Time Hand Gloves (M) - 1 box</t>
  </si>
  <si>
    <t>15. One Time Bandage (Standard) - 10 box</t>
  </si>
  <si>
    <t>16. Surgical Face Mask - 1 box</t>
  </si>
  <si>
    <t>17. Cotton (25g/packet) - 200 pcs</t>
  </si>
  <si>
    <t>Tufnil (200mg)</t>
  </si>
  <si>
    <t>Stationary</t>
  </si>
  <si>
    <t>Spare Parts</t>
  </si>
  <si>
    <t>Press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</si>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</sst>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809]dd\ mmmm\ yyyy;@"/>
    <numFmt numFmtId="166" formatCode="_-* #,##0_-;\-* #,##0_-;_-* &quot;-&quot;??_-;_-@_-"/>
    <numFmt numFmtId="167" formatCode="[$-409]dd\-mmm\-yy;@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u/>
      <sz val="10"/>
      <color indexed="12"/>
      <name val="Arial"/>
      <family val="2"/>
    </font>
    <font>
      <b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b/>
      <sz val="28"/>
      <color theme="1"/>
      <name val="Cambria"/>
      <family val="1"/>
    </font>
    <font>
      <u/>
      <sz val="11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indexed="12"/>
      <name val="Cambria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Calibri"/>
      <family val="2"/>
      <scheme val="minor"/>
    </font>
    <font>
      <sz val="10"/>
      <name val="Times New Roman"/>
      <family val="1"/>
    </font>
    <font>
      <sz val="10"/>
      <name val="Cambria"/>
      <family val="1"/>
    </font>
    <font>
      <sz val="9"/>
      <color theme="1"/>
      <name val="Calibri"/>
      <family val="2"/>
      <scheme val="minor"/>
    </font>
    <font>
      <b/>
      <sz val="2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164" fontId="13" fillId="0" borderId="0" applyFont="0" applyFill="0" applyBorder="0" applyAlignment="0" applyProtection="0"/>
  </cellStyleXfs>
  <cellXfs count="19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 vertical="center"/>
    </xf>
    <xf numFmtId="1" fontId="5" fillId="0" borderId="22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2" fontId="5" fillId="0" borderId="22" xfId="0" applyNumberFormat="1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2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0" fillId="0" borderId="20" xfId="0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166" fontId="2" fillId="0" borderId="5" xfId="2" applyNumberFormat="1" applyFont="1" applyBorder="1" applyAlignment="1">
      <alignment horizontal="center" vertical="center"/>
    </xf>
    <xf numFmtId="166" fontId="0" fillId="0" borderId="5" xfId="2" applyNumberFormat="1" applyFont="1" applyBorder="1" applyAlignment="1">
      <alignment horizontal="center" vertical="center"/>
    </xf>
    <xf numFmtId="166" fontId="2" fillId="0" borderId="20" xfId="2" applyNumberFormat="1" applyFont="1" applyBorder="1" applyAlignment="1">
      <alignment horizontal="center" vertical="center"/>
    </xf>
    <xf numFmtId="0" fontId="9" fillId="0" borderId="0" xfId="0" applyFont="1"/>
    <xf numFmtId="0" fontId="0" fillId="0" borderId="20" xfId="0" applyBorder="1" applyAlignment="1">
      <alignment horizontal="center" vertical="center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/>
    </xf>
    <xf numFmtId="49" fontId="8" fillId="0" borderId="35" xfId="0" applyNumberFormat="1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167" fontId="0" fillId="0" borderId="5" xfId="0" applyNumberForma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166" fontId="0" fillId="0" borderId="20" xfId="2" applyNumberFormat="1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14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166" fontId="15" fillId="0" borderId="5" xfId="2" applyNumberFormat="1" applyFont="1" applyFill="1" applyBorder="1" applyAlignment="1">
      <alignment horizontal="center" vertical="center"/>
    </xf>
    <xf numFmtId="166" fontId="15" fillId="0" borderId="5" xfId="2" applyNumberFormat="1" applyFont="1" applyBorder="1" applyAlignment="1">
      <alignment horizontal="center" vertical="center"/>
    </xf>
    <xf numFmtId="167" fontId="15" fillId="0" borderId="5" xfId="2" applyNumberFormat="1" applyFont="1" applyBorder="1" applyAlignment="1">
      <alignment horizontal="center" vertical="center"/>
    </xf>
    <xf numFmtId="166" fontId="15" fillId="0" borderId="5" xfId="2" applyNumberFormat="1" applyFont="1" applyBorder="1" applyAlignment="1">
      <alignment horizontal="right" vertical="center"/>
    </xf>
    <xf numFmtId="166" fontId="9" fillId="0" borderId="5" xfId="2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" fontId="9" fillId="0" borderId="33" xfId="0" applyNumberFormat="1" applyFont="1" applyBorder="1" applyAlignment="1">
      <alignment horizontal="center" vertical="center"/>
    </xf>
    <xf numFmtId="166" fontId="9" fillId="0" borderId="20" xfId="2" applyNumberFormat="1" applyFont="1" applyBorder="1" applyAlignment="1">
      <alignment horizontal="center" vertical="center" wrapText="1"/>
    </xf>
    <xf numFmtId="166" fontId="17" fillId="0" borderId="5" xfId="2" applyNumberFormat="1" applyFont="1" applyBorder="1" applyAlignment="1">
      <alignment horizontal="center" vertical="center" wrapText="1"/>
    </xf>
    <xf numFmtId="166" fontId="17" fillId="0" borderId="9" xfId="2" applyNumberFormat="1" applyFont="1" applyBorder="1" applyAlignment="1">
      <alignment horizontal="center" vertical="center" wrapText="1"/>
    </xf>
    <xf numFmtId="166" fontId="17" fillId="0" borderId="14" xfId="2" applyNumberFormat="1" applyFont="1" applyBorder="1" applyAlignment="1">
      <alignment horizontal="center" vertical="center" wrapText="1"/>
    </xf>
    <xf numFmtId="166" fontId="17" fillId="2" borderId="32" xfId="2" applyNumberFormat="1" applyFont="1" applyFill="1" applyBorder="1" applyAlignment="1">
      <alignment horizontal="center" vertical="center"/>
    </xf>
    <xf numFmtId="166" fontId="17" fillId="2" borderId="5" xfId="2" applyNumberFormat="1" applyFont="1" applyFill="1" applyBorder="1" applyAlignment="1">
      <alignment horizontal="center" vertical="center"/>
    </xf>
    <xf numFmtId="166" fontId="9" fillId="0" borderId="32" xfId="2" applyNumberFormat="1" applyFont="1" applyBorder="1" applyAlignment="1">
      <alignment horizontal="center" vertical="center" wrapText="1"/>
    </xf>
    <xf numFmtId="166" fontId="9" fillId="0" borderId="5" xfId="2" applyNumberFormat="1" applyFont="1" applyBorder="1" applyAlignment="1">
      <alignment horizontal="center" vertical="center" wrapText="1"/>
    </xf>
    <xf numFmtId="1" fontId="9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0" fontId="20" fillId="0" borderId="0" xfId="0" applyFont="1"/>
    <xf numFmtId="166" fontId="19" fillId="0" borderId="14" xfId="2" applyNumberFormat="1" applyFont="1" applyBorder="1" applyAlignment="1">
      <alignment horizontal="center" vertical="center" wrapText="1"/>
    </xf>
    <xf numFmtId="1" fontId="20" fillId="0" borderId="6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166" fontId="18" fillId="0" borderId="5" xfId="2" applyNumberFormat="1" applyFont="1" applyFill="1" applyBorder="1" applyAlignment="1">
      <alignment horizontal="center" vertical="center"/>
    </xf>
    <xf numFmtId="166" fontId="9" fillId="0" borderId="5" xfId="0" applyNumberFormat="1" applyFont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166" fontId="15" fillId="2" borderId="5" xfId="2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164" fontId="5" fillId="0" borderId="22" xfId="2" applyFont="1" applyBorder="1" applyAlignment="1">
      <alignment horizontal="center" vertical="center"/>
    </xf>
    <xf numFmtId="166" fontId="5" fillId="0" borderId="22" xfId="2" applyNumberFormat="1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 wrapText="1"/>
    </xf>
    <xf numFmtId="0" fontId="4" fillId="0" borderId="42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6" fontId="19" fillId="0" borderId="5" xfId="2" applyNumberFormat="1" applyFont="1" applyBorder="1" applyAlignment="1">
      <alignment horizontal="center" vertical="center" wrapText="1"/>
    </xf>
    <xf numFmtId="166" fontId="17" fillId="0" borderId="14" xfId="2" applyNumberFormat="1" applyFont="1" applyBorder="1" applyAlignment="1">
      <alignment horizontal="center" vertical="top" wrapText="1"/>
    </xf>
    <xf numFmtId="166" fontId="17" fillId="0" borderId="32" xfId="2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165" fontId="2" fillId="0" borderId="10" xfId="0" applyNumberFormat="1" applyFont="1" applyBorder="1" applyAlignment="1">
      <alignment horizontal="left" vertical="center"/>
    </xf>
    <xf numFmtId="165" fontId="2" fillId="0" borderId="8" xfId="0" applyNumberFormat="1" applyFont="1" applyBorder="1" applyAlignment="1">
      <alignment horizontal="left" vertical="center"/>
    </xf>
    <xf numFmtId="165" fontId="2" fillId="0" borderId="9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8" xfId="0" quotePrefix="1" applyFont="1" applyBorder="1" applyAlignment="1">
      <alignment horizontal="left" vertical="center"/>
    </xf>
    <xf numFmtId="0" fontId="2" fillId="0" borderId="11" xfId="0" quotePrefix="1" applyFont="1" applyBorder="1" applyAlignment="1">
      <alignment horizontal="left" vertical="center"/>
    </xf>
    <xf numFmtId="0" fontId="6" fillId="0" borderId="25" xfId="1" applyBorder="1" applyAlignment="1" applyProtection="1">
      <alignment horizontal="left" vertical="center"/>
    </xf>
    <xf numFmtId="0" fontId="11" fillId="0" borderId="26" xfId="1" applyFont="1" applyBorder="1" applyAlignment="1" applyProtection="1">
      <alignment horizontal="left" vertical="center"/>
    </xf>
    <xf numFmtId="0" fontId="11" fillId="0" borderId="27" xfId="1" applyFont="1" applyBorder="1" applyAlignment="1" applyProtection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6" fillId="0" borderId="15" xfId="1" applyBorder="1" applyAlignment="1" applyProtection="1">
      <alignment horizontal="left" vertical="center"/>
    </xf>
    <xf numFmtId="0" fontId="14" fillId="0" borderId="13" xfId="1" applyFont="1" applyBorder="1" applyAlignment="1" applyProtection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14" fillId="0" borderId="25" xfId="1" applyFont="1" applyBorder="1" applyAlignment="1" applyProtection="1">
      <alignment horizontal="left" vertical="center"/>
    </xf>
    <xf numFmtId="0" fontId="14" fillId="0" borderId="26" xfId="1" applyFont="1" applyBorder="1" applyAlignment="1" applyProtection="1">
      <alignment horizontal="left" vertical="center"/>
    </xf>
    <xf numFmtId="0" fontId="14" fillId="0" borderId="28" xfId="1" applyFont="1" applyBorder="1" applyAlignment="1" applyProtection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1" fillId="0" borderId="25" xfId="1" applyFont="1" applyBorder="1" applyAlignment="1" applyProtection="1">
      <alignment horizontal="left" vertical="center"/>
    </xf>
    <xf numFmtId="0" fontId="11" fillId="0" borderId="28" xfId="1" applyFont="1" applyBorder="1" applyAlignment="1" applyProtection="1">
      <alignment horizontal="left" vertical="center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</cellXfs>
  <cellStyles count="3">
    <cellStyle name="Comma" xfId="2" builtinId="3"/>
    <cellStyle name="Hyperlink" xfId="1" builtinId="8"/>
    <cellStyle name="Normal" xfId="0" builtinId="0"/>
  </cellStyles>
  <dxfs count="5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brahim\AppData\Local\Microsoft\Windows\INetCache\Content.Outlook\9K5217H7\Consumable_Stock_Report-2026.xlsx" TargetMode="External"/><Relationship Id="rId1" Type="http://schemas.openxmlformats.org/officeDocument/2006/relationships/externalLinkPath" Target="https://humanaapparels-my.sharepoint.com/Users/Ebrahim/AppData/Local/Microsoft/Windows/INetCache/Content.Outlook/9K5217H7/Consumable_Stock_Report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rchase"/>
      <sheetName val="Stock July-26"/>
      <sheetName val="Consumption"/>
      <sheetName val="Non Stock"/>
      <sheetName val="Stock June-26 "/>
      <sheetName val="Stock May-26"/>
      <sheetName val="Stock Apr-26"/>
      <sheetName val="Stock Mar-26"/>
      <sheetName val="Stock Feb-26"/>
      <sheetName val="Stock Jan-26"/>
    </sheetNames>
    <sheetDataSet>
      <sheetData sheetId="0"/>
      <sheetData sheetId="1">
        <row r="4">
          <cell r="Q4">
            <v>0.20000000000000284</v>
          </cell>
        </row>
        <row r="5">
          <cell r="D5" t="str">
            <v>Item Name</v>
          </cell>
          <cell r="Q5" t="str">
            <v>Stock
as on Date</v>
          </cell>
        </row>
        <row r="6">
          <cell r="D6" t="str">
            <v xml:space="preserve">APW/M Needle MTx190 -14 </v>
          </cell>
          <cell r="Q6">
            <v>15</v>
          </cell>
        </row>
        <row r="7">
          <cell r="D7" t="str">
            <v>B/S Needle DPX17-09</v>
          </cell>
          <cell r="Q7">
            <v>5</v>
          </cell>
        </row>
        <row r="8">
          <cell r="D8" t="str">
            <v>B/S Needle DPX17-11</v>
          </cell>
          <cell r="Q8">
            <v>2</v>
          </cell>
        </row>
        <row r="9">
          <cell r="D9" t="str">
            <v>B/S Needle DPx17-14</v>
          </cell>
          <cell r="Q9">
            <v>10</v>
          </cell>
        </row>
        <row r="10">
          <cell r="D10" t="str">
            <v>B/S Needle DPX17-16</v>
          </cell>
          <cell r="Q10">
            <v>5</v>
          </cell>
        </row>
        <row r="11">
          <cell r="D11" t="str">
            <v>B/S Needle DPX17-FFG-10</v>
          </cell>
          <cell r="Q11">
            <v>15</v>
          </cell>
        </row>
        <row r="12">
          <cell r="D12" t="str">
            <v>B/S Needle DPX17-FFG-11</v>
          </cell>
          <cell r="Q12">
            <v>46</v>
          </cell>
        </row>
        <row r="13">
          <cell r="D13" t="str">
            <v>B/S Needle DPX17-FFG-12</v>
          </cell>
          <cell r="Q13">
            <v>30</v>
          </cell>
        </row>
        <row r="14">
          <cell r="D14" t="str">
            <v>B/S Needle DPX17-FG-14</v>
          </cell>
          <cell r="Q14">
            <v>23</v>
          </cell>
        </row>
        <row r="15">
          <cell r="D15" t="str">
            <v>B/S Needle DPX17-R-09</v>
          </cell>
          <cell r="Q15">
            <v>18</v>
          </cell>
        </row>
        <row r="16">
          <cell r="D16" t="str">
            <v>B/S Needle DPX17-R-11</v>
          </cell>
          <cell r="Q16">
            <v>24</v>
          </cell>
        </row>
        <row r="17">
          <cell r="D17" t="str">
            <v>B/S Needle DPX17-R-12</v>
          </cell>
          <cell r="Q17">
            <v>10</v>
          </cell>
        </row>
        <row r="18">
          <cell r="D18" t="str">
            <v>B/S Needle DPX17-R-14</v>
          </cell>
          <cell r="Q18">
            <v>18</v>
          </cell>
        </row>
        <row r="19">
          <cell r="D19" t="str">
            <v>B/S Needle DPX17-R-16</v>
          </cell>
          <cell r="Q19">
            <v>19</v>
          </cell>
        </row>
        <row r="20">
          <cell r="D20" t="str">
            <v>BL/S Needle LWX6T-RS-09</v>
          </cell>
          <cell r="Q20">
            <v>25</v>
          </cell>
        </row>
        <row r="21">
          <cell r="D21" t="str">
            <v>BL/S Needle LWX6T-RS-11</v>
          </cell>
          <cell r="Q21">
            <v>14</v>
          </cell>
        </row>
        <row r="22">
          <cell r="D22" t="str">
            <v>BL/S Needle LWX6T-RS-12</v>
          </cell>
          <cell r="Q22">
            <v>30</v>
          </cell>
        </row>
        <row r="23">
          <cell r="D23" t="str">
            <v>E/H Needle DOX558-16</v>
          </cell>
          <cell r="Q23">
            <v>21</v>
          </cell>
        </row>
        <row r="24">
          <cell r="D24" t="str">
            <v>E/H Needle DOX558-18</v>
          </cell>
          <cell r="Q24">
            <v>19</v>
          </cell>
        </row>
        <row r="25">
          <cell r="D25" t="str">
            <v>E/H Needle DOX558-RS-14</v>
          </cell>
          <cell r="Q25">
            <v>22</v>
          </cell>
        </row>
        <row r="26">
          <cell r="D26" t="str">
            <v>F/L Needle UYX128 GAS-FFG-10</v>
          </cell>
          <cell r="Q26">
            <v>30</v>
          </cell>
        </row>
        <row r="27">
          <cell r="D27" t="str">
            <v>F/L Needle UYX128 GAS-FFG-11</v>
          </cell>
          <cell r="Q27">
            <v>28</v>
          </cell>
        </row>
        <row r="28">
          <cell r="D28" t="str">
            <v>F/L Needle UYX128 GAS-FFG-14</v>
          </cell>
          <cell r="Q28">
            <v>50</v>
          </cell>
        </row>
        <row r="29">
          <cell r="D29" t="str">
            <v>F/L Needle UYX128 GAS-FFG-16</v>
          </cell>
          <cell r="Q29">
            <v>20</v>
          </cell>
        </row>
        <row r="30">
          <cell r="D30" t="str">
            <v>F/L Needle UYX128 GAS-RG-09</v>
          </cell>
          <cell r="Q30">
            <v>18</v>
          </cell>
        </row>
        <row r="31">
          <cell r="D31" t="str">
            <v>F/L Needle UYX128 GAS-RG-11</v>
          </cell>
          <cell r="Q31">
            <v>70</v>
          </cell>
        </row>
        <row r="32">
          <cell r="D32" t="str">
            <v>F/L Needle UYX128 GAS-RG-12</v>
          </cell>
          <cell r="Q32">
            <v>7</v>
          </cell>
        </row>
        <row r="33">
          <cell r="D33" t="str">
            <v>F/L Needle UYX128 GAS-RG-14</v>
          </cell>
          <cell r="Q33">
            <v>17</v>
          </cell>
        </row>
        <row r="34">
          <cell r="D34" t="str">
            <v>F/L Needle UYX128 GAS-RG-16</v>
          </cell>
          <cell r="Q34">
            <v>16</v>
          </cell>
        </row>
        <row r="35">
          <cell r="D35" t="str">
            <v>F/L Needle UYX128 GBS-FG-09</v>
          </cell>
          <cell r="Q35">
            <v>10</v>
          </cell>
        </row>
        <row r="36">
          <cell r="D36" t="str">
            <v>F/L Needle UYX128 GBS-FG-10</v>
          </cell>
          <cell r="Q36">
            <v>10</v>
          </cell>
        </row>
        <row r="37">
          <cell r="D37" t="str">
            <v>F/L Needle UYX128 GBS-FG-11</v>
          </cell>
          <cell r="Q37">
            <v>24</v>
          </cell>
        </row>
        <row r="38">
          <cell r="D38" t="str">
            <v>F/L Needle UYX128 GBS-FG-12</v>
          </cell>
          <cell r="Q38">
            <v>8</v>
          </cell>
        </row>
        <row r="39">
          <cell r="D39" t="str">
            <v>F/L Needle UYX128 GBS-FG-14</v>
          </cell>
          <cell r="Q39">
            <v>30</v>
          </cell>
        </row>
        <row r="40">
          <cell r="D40" t="str">
            <v>F/L Needle UYX128 GBS-FG-16</v>
          </cell>
          <cell r="Q40">
            <v>9</v>
          </cell>
        </row>
        <row r="41">
          <cell r="D41" t="str">
            <v>F/L Needle UYX128 SAN10-FFG-08</v>
          </cell>
          <cell r="Q41">
            <v>10</v>
          </cell>
        </row>
        <row r="42">
          <cell r="D42" t="str">
            <v>F/L Needle UYX128 SAN10-FFG-09</v>
          </cell>
          <cell r="Q42">
            <v>10</v>
          </cell>
        </row>
        <row r="43">
          <cell r="D43" t="str">
            <v>F/L Needle UYX128-09</v>
          </cell>
          <cell r="Q43">
            <v>5</v>
          </cell>
        </row>
        <row r="44">
          <cell r="D44" t="str">
            <v>F/L Needle UYX128-11</v>
          </cell>
          <cell r="Q44">
            <v>0</v>
          </cell>
        </row>
        <row r="45">
          <cell r="D45" t="str">
            <v>F/L Needle UYX128-16</v>
          </cell>
          <cell r="Q45">
            <v>0</v>
          </cell>
        </row>
        <row r="46">
          <cell r="D46" t="str">
            <v>K/N Needle UOX113 GHS-FFG-11</v>
          </cell>
          <cell r="Q46">
            <v>30</v>
          </cell>
        </row>
        <row r="47">
          <cell r="D47" t="str">
            <v>K/N Needle UOX113 GHS-FFG-14</v>
          </cell>
          <cell r="Q47">
            <v>30</v>
          </cell>
        </row>
        <row r="48">
          <cell r="D48" t="str">
            <v>K/N Needle UOX113 GHS-FFG-16</v>
          </cell>
          <cell r="Q48">
            <v>30</v>
          </cell>
        </row>
        <row r="49">
          <cell r="D49" t="str">
            <v>K/N Needle UOX113 GS-RG-09</v>
          </cell>
          <cell r="Q49">
            <v>19</v>
          </cell>
        </row>
        <row r="50">
          <cell r="D50" t="str">
            <v>K/N Needle UOX113 GS-RG-10</v>
          </cell>
          <cell r="Q50">
            <v>18</v>
          </cell>
        </row>
        <row r="51">
          <cell r="D51" t="str">
            <v>K/N Needle UOX113 GS-RG-11</v>
          </cell>
          <cell r="Q51">
            <v>15</v>
          </cell>
        </row>
        <row r="52">
          <cell r="D52" t="str">
            <v>K/N Needle UOX113 GS-RG-12</v>
          </cell>
          <cell r="Q52">
            <v>30</v>
          </cell>
        </row>
        <row r="53">
          <cell r="D53" t="str">
            <v>K/N Needle UOX113 GS-RG-14</v>
          </cell>
          <cell r="Q53">
            <v>58</v>
          </cell>
        </row>
        <row r="54">
          <cell r="D54" t="str">
            <v>K/N Needle UOX113 GS-RG-16</v>
          </cell>
          <cell r="Q54">
            <v>42</v>
          </cell>
        </row>
        <row r="55">
          <cell r="D55" t="str">
            <v>K/N Needle UOX113-09</v>
          </cell>
          <cell r="Q55">
            <v>5</v>
          </cell>
        </row>
        <row r="56">
          <cell r="D56" t="str">
            <v>K/N Needle UOX113-11</v>
          </cell>
          <cell r="Q56">
            <v>0</v>
          </cell>
        </row>
        <row r="57">
          <cell r="D57" t="str">
            <v>K/N Needle UOX113-16</v>
          </cell>
          <cell r="Q57">
            <v>0</v>
          </cell>
        </row>
        <row r="58">
          <cell r="D58" t="str">
            <v>O/L Needle DCX1-07</v>
          </cell>
          <cell r="Q58">
            <v>0</v>
          </cell>
        </row>
        <row r="59">
          <cell r="D59" t="str">
            <v>O/L Needle DCX1-11</v>
          </cell>
          <cell r="Q59">
            <v>0</v>
          </cell>
        </row>
        <row r="60">
          <cell r="D60" t="str">
            <v>O/L Needle DCX1-14</v>
          </cell>
          <cell r="Q60">
            <v>0</v>
          </cell>
        </row>
        <row r="61">
          <cell r="D61" t="str">
            <v>O/L Needle DCX1-16</v>
          </cell>
          <cell r="Q61">
            <v>12</v>
          </cell>
        </row>
        <row r="62">
          <cell r="D62" t="str">
            <v>O/L Needle DCX27 SAN10-FFG-08</v>
          </cell>
          <cell r="Q62">
            <v>30</v>
          </cell>
        </row>
        <row r="63">
          <cell r="D63" t="str">
            <v>O/L Needle DCX27 SAN10-FFG-09</v>
          </cell>
          <cell r="Q63">
            <v>40</v>
          </cell>
        </row>
        <row r="64">
          <cell r="D64" t="str">
            <v>O/L Needle DCX27 SAN10-FFG-11</v>
          </cell>
          <cell r="Q64">
            <v>60</v>
          </cell>
        </row>
        <row r="65">
          <cell r="D65" t="str">
            <v>O/L Needle DCX27 SAN10-FFG-12</v>
          </cell>
          <cell r="Q65">
            <v>20</v>
          </cell>
        </row>
        <row r="66">
          <cell r="D66" t="str">
            <v>O/L Needle DCX27-FFG-09</v>
          </cell>
          <cell r="Q66">
            <v>45</v>
          </cell>
        </row>
        <row r="67">
          <cell r="D67" t="str">
            <v>O/L Needle DCX27-FFG-10</v>
          </cell>
          <cell r="Q67">
            <v>10</v>
          </cell>
        </row>
        <row r="68">
          <cell r="D68" t="str">
            <v>O/L Needle DCX27-FFG-11</v>
          </cell>
          <cell r="Q68">
            <v>33</v>
          </cell>
        </row>
        <row r="69">
          <cell r="D69" t="str">
            <v>O/L Needle DCX27-FFG-12</v>
          </cell>
          <cell r="Q69">
            <v>19</v>
          </cell>
        </row>
        <row r="70">
          <cell r="D70" t="str">
            <v>O/L Needle DCX27-FFG-14</v>
          </cell>
          <cell r="Q70">
            <v>41</v>
          </cell>
        </row>
        <row r="71">
          <cell r="D71" t="str">
            <v>O/L Needle DCX27-FG-09</v>
          </cell>
          <cell r="Q71">
            <v>32</v>
          </cell>
        </row>
        <row r="72">
          <cell r="D72" t="str">
            <v>O/L Needle DCX27-FG-10</v>
          </cell>
          <cell r="Q72">
            <v>29</v>
          </cell>
        </row>
        <row r="73">
          <cell r="D73" t="str">
            <v>O/L Needle DCX27-FG-11</v>
          </cell>
          <cell r="Q73">
            <v>16</v>
          </cell>
        </row>
        <row r="74">
          <cell r="D74" t="str">
            <v>O/L Needle DCX27-FG-12</v>
          </cell>
          <cell r="Q74">
            <v>10</v>
          </cell>
        </row>
        <row r="75">
          <cell r="D75" t="str">
            <v>O/L Needle DCX27-FG-14</v>
          </cell>
          <cell r="Q75">
            <v>20</v>
          </cell>
        </row>
        <row r="76">
          <cell r="D76" t="str">
            <v>O/L Needle DCX27-RG-07</v>
          </cell>
          <cell r="Q76">
            <v>10</v>
          </cell>
        </row>
        <row r="77">
          <cell r="D77" t="str">
            <v>O/L Needle DCX27-RG-09</v>
          </cell>
          <cell r="Q77">
            <v>11</v>
          </cell>
        </row>
        <row r="78">
          <cell r="D78" t="str">
            <v>O/L Needle DCX27-RG-10</v>
          </cell>
          <cell r="Q78">
            <v>40</v>
          </cell>
        </row>
        <row r="79">
          <cell r="D79" t="str">
            <v>O/L Needle DCX27-RG-11</v>
          </cell>
          <cell r="Q79">
            <v>25</v>
          </cell>
        </row>
        <row r="80">
          <cell r="D80" t="str">
            <v>O/L Needle DCX27-RG-12</v>
          </cell>
          <cell r="Q80">
            <v>30</v>
          </cell>
        </row>
        <row r="81">
          <cell r="D81" t="str">
            <v>O/L Needle DCX27-RG-14</v>
          </cell>
          <cell r="Q81">
            <v>15</v>
          </cell>
        </row>
        <row r="82">
          <cell r="D82" t="str">
            <v>P/M Needle DBX1 GEBEDUR-FFG-09</v>
          </cell>
          <cell r="Q82">
            <v>60</v>
          </cell>
        </row>
        <row r="83">
          <cell r="D83" t="str">
            <v>P/M Needle DBX1 NS-08</v>
          </cell>
          <cell r="Q83">
            <v>5</v>
          </cell>
        </row>
        <row r="84">
          <cell r="D84" t="str">
            <v>P/M Needle DBX1 NS-09</v>
          </cell>
          <cell r="Q84">
            <v>0</v>
          </cell>
        </row>
        <row r="85">
          <cell r="D85" t="str">
            <v>P/M Needle DBX1 NS-11</v>
          </cell>
          <cell r="Q85">
            <v>7</v>
          </cell>
        </row>
        <row r="86">
          <cell r="D86" t="str">
            <v>P/M Needle DBX1 SAN10 XS-FFG-08</v>
          </cell>
          <cell r="Q86">
            <v>11</v>
          </cell>
        </row>
        <row r="87">
          <cell r="D87" t="str">
            <v>P/M Needle DBX1 SAN10 XS-FFG-09</v>
          </cell>
          <cell r="Q87">
            <v>43</v>
          </cell>
        </row>
        <row r="88">
          <cell r="D88" t="str">
            <v>P/M Needle DBX1 SAN10 XS-FFG-10</v>
          </cell>
          <cell r="Q88">
            <v>33</v>
          </cell>
        </row>
        <row r="89">
          <cell r="D89" t="str">
            <v>P/M Needle DBX1 SAN10-FFG-07</v>
          </cell>
          <cell r="Q89">
            <v>42</v>
          </cell>
        </row>
        <row r="90">
          <cell r="D90" t="str">
            <v>P/M Needle DBX1 SAN10-FFG-08</v>
          </cell>
          <cell r="Q90">
            <v>51</v>
          </cell>
        </row>
        <row r="91">
          <cell r="D91" t="str">
            <v>P/M Needle DBX1 SAN10-FFG-09</v>
          </cell>
          <cell r="Q91">
            <v>86</v>
          </cell>
        </row>
        <row r="92">
          <cell r="D92" t="str">
            <v>P/M Needle DBX1 SAN10-FFG-10</v>
          </cell>
          <cell r="Q92">
            <v>25</v>
          </cell>
        </row>
        <row r="93">
          <cell r="D93" t="str">
            <v>P/M Needle DBX1 SAN10-FFG-11</v>
          </cell>
          <cell r="Q93">
            <v>44</v>
          </cell>
        </row>
        <row r="94">
          <cell r="D94" t="str">
            <v>P/M Needle DBX1 SAN10-FFG-12</v>
          </cell>
          <cell r="Q94">
            <v>29</v>
          </cell>
        </row>
        <row r="95">
          <cell r="D95" t="str">
            <v>P/M Needle DBX1 SAN10-R-07</v>
          </cell>
          <cell r="Q95">
            <v>50</v>
          </cell>
        </row>
        <row r="96">
          <cell r="D96" t="str">
            <v>P/M Needle DBX1 SAN10-R-08</v>
          </cell>
          <cell r="Q96">
            <v>87</v>
          </cell>
        </row>
        <row r="97">
          <cell r="D97" t="str">
            <v>P/M Needle DBX1 SAN10-R-09</v>
          </cell>
          <cell r="Q97">
            <v>20</v>
          </cell>
        </row>
        <row r="98">
          <cell r="D98" t="str">
            <v>P/M Needle DBX1 SAN6-RG-14</v>
          </cell>
          <cell r="Q98">
            <v>53</v>
          </cell>
        </row>
        <row r="99">
          <cell r="D99" t="str">
            <v>P/M Needle DBX1 SAN6-RG-16</v>
          </cell>
          <cell r="Q99">
            <v>35</v>
          </cell>
        </row>
        <row r="100">
          <cell r="D100" t="str">
            <v>P/M Needle DBX1-14</v>
          </cell>
          <cell r="Q100">
            <v>0</v>
          </cell>
        </row>
        <row r="101">
          <cell r="D101" t="str">
            <v>P/M Needle DBX1-16</v>
          </cell>
          <cell r="Q101">
            <v>10</v>
          </cell>
        </row>
        <row r="102">
          <cell r="D102" t="str">
            <v>P/M Needle DBX1-FFG-09</v>
          </cell>
          <cell r="Q102">
            <v>21</v>
          </cell>
        </row>
        <row r="103">
          <cell r="D103" t="str">
            <v>P/M Needle DBX1-FFG-10</v>
          </cell>
          <cell r="Q103">
            <v>25</v>
          </cell>
        </row>
        <row r="104">
          <cell r="D104" t="str">
            <v>P/M Needle DBX1-FFG-11</v>
          </cell>
          <cell r="Q104">
            <v>48</v>
          </cell>
        </row>
        <row r="105">
          <cell r="D105" t="str">
            <v>P/M Needle DBX1-FFG-12</v>
          </cell>
          <cell r="Q105">
            <v>30</v>
          </cell>
        </row>
        <row r="106">
          <cell r="D106" t="str">
            <v>P/M Needle DBX1-FFG-14</v>
          </cell>
          <cell r="Q106">
            <v>33</v>
          </cell>
        </row>
        <row r="107">
          <cell r="D107" t="str">
            <v>P/M Needle DBX1-FFG-16</v>
          </cell>
          <cell r="Q107">
            <v>30</v>
          </cell>
        </row>
        <row r="108">
          <cell r="D108" t="str">
            <v>P/M Needle DBX1-FG-09</v>
          </cell>
          <cell r="Q108">
            <v>263</v>
          </cell>
        </row>
        <row r="109">
          <cell r="D109" t="str">
            <v>P/M Needle DBX1-FG-10</v>
          </cell>
          <cell r="Q109">
            <v>51</v>
          </cell>
        </row>
        <row r="110">
          <cell r="D110" t="str">
            <v>P/M Needle DBX1-FG-11</v>
          </cell>
          <cell r="Q110">
            <v>47</v>
          </cell>
        </row>
        <row r="111">
          <cell r="D111" t="str">
            <v>P/M Needle DBX1-FG-12</v>
          </cell>
          <cell r="Q111">
            <v>20</v>
          </cell>
        </row>
        <row r="112">
          <cell r="D112" t="str">
            <v>P/M Needle DBX1-FG-14</v>
          </cell>
          <cell r="Q112">
            <v>40</v>
          </cell>
        </row>
        <row r="113">
          <cell r="D113" t="str">
            <v>P/M Needle DBX1-R-07</v>
          </cell>
          <cell r="Q113">
            <v>20</v>
          </cell>
        </row>
        <row r="114">
          <cell r="D114" t="str">
            <v>P/M Needle DBX1-R-09</v>
          </cell>
          <cell r="Q114">
            <v>130</v>
          </cell>
        </row>
        <row r="115">
          <cell r="D115" t="str">
            <v>P/M Needle DBX1-R-10</v>
          </cell>
          <cell r="Q115">
            <v>20</v>
          </cell>
        </row>
        <row r="116">
          <cell r="D116" t="str">
            <v>P/M Needle DBX1-R-11</v>
          </cell>
          <cell r="Q116">
            <v>205</v>
          </cell>
        </row>
        <row r="117">
          <cell r="D117" t="str">
            <v>P/M Needle DBX1-R-12</v>
          </cell>
          <cell r="Q117">
            <v>14</v>
          </cell>
        </row>
        <row r="118">
          <cell r="D118" t="str">
            <v>P/M Needle DBX1-R-14</v>
          </cell>
          <cell r="Q118">
            <v>105</v>
          </cell>
        </row>
        <row r="119">
          <cell r="D119" t="str">
            <v>P/M Needle DBX1-R-16</v>
          </cell>
          <cell r="Q119">
            <v>10</v>
          </cell>
        </row>
        <row r="120">
          <cell r="D120" t="str">
            <v>P/M Needle DBX1-RS-09</v>
          </cell>
          <cell r="Q120">
            <v>203</v>
          </cell>
        </row>
        <row r="121">
          <cell r="D121" t="str">
            <v>P/M Needle DBX1-RS-10</v>
          </cell>
          <cell r="Q121">
            <v>20</v>
          </cell>
        </row>
        <row r="122">
          <cell r="D122" t="str">
            <v>P/M Needle DBX1-RS-11</v>
          </cell>
          <cell r="Q122">
            <v>93</v>
          </cell>
        </row>
        <row r="123">
          <cell r="D123" t="str">
            <v>P/M Needle DBX1-RS-12</v>
          </cell>
          <cell r="Q123">
            <v>20</v>
          </cell>
        </row>
        <row r="124">
          <cell r="D124" t="str">
            <v>P/M Needle DBX1-RS-14</v>
          </cell>
          <cell r="Q124">
            <v>50</v>
          </cell>
        </row>
        <row r="125">
          <cell r="D125" t="str">
            <v>S/S Machine Needle CPx1-16</v>
          </cell>
          <cell r="Q125">
            <v>1</v>
          </cell>
        </row>
        <row r="126">
          <cell r="D126" t="str">
            <v>S/S Machine Needle CPx12-18</v>
          </cell>
          <cell r="Q126">
            <v>2</v>
          </cell>
        </row>
        <row r="127">
          <cell r="D127" t="str">
            <v>S/S Machine Needle CPx12-19</v>
          </cell>
          <cell r="Q127">
            <v>0</v>
          </cell>
        </row>
        <row r="128">
          <cell r="D128" t="str">
            <v>T/N Needle DPX5 GEBEDUR-FFG-09</v>
          </cell>
          <cell r="Q128">
            <v>70</v>
          </cell>
        </row>
        <row r="129">
          <cell r="D129" t="str">
            <v>T/N Needle DPX5 MR-R-16</v>
          </cell>
          <cell r="Q129">
            <v>23</v>
          </cell>
        </row>
        <row r="130">
          <cell r="D130" t="str">
            <v>T/N Needle DPX5 NS-08</v>
          </cell>
          <cell r="Q130">
            <v>10</v>
          </cell>
        </row>
        <row r="131">
          <cell r="D131" t="str">
            <v>T/N Needle DPX5 NS-09</v>
          </cell>
          <cell r="Q131">
            <v>9</v>
          </cell>
        </row>
        <row r="132">
          <cell r="D132" t="str">
            <v>T/N Needle DPX5 NS-11</v>
          </cell>
          <cell r="Q132">
            <v>8</v>
          </cell>
        </row>
        <row r="133">
          <cell r="D133" t="str">
            <v>T/N Needle DPX5 SAN10 XS-FFG-09</v>
          </cell>
          <cell r="Q133">
            <v>22</v>
          </cell>
        </row>
        <row r="134">
          <cell r="D134" t="str">
            <v>T/N Needle DPX5 SAN10 XS-FFG-10</v>
          </cell>
          <cell r="Q134">
            <v>14</v>
          </cell>
        </row>
        <row r="135">
          <cell r="D135" t="str">
            <v>T/N Needle DPX5 SAN10-FFG-07</v>
          </cell>
          <cell r="Q135">
            <v>30</v>
          </cell>
        </row>
        <row r="136">
          <cell r="D136" t="str">
            <v>T/N Needle DPX5 SAN10-FFG-08</v>
          </cell>
          <cell r="Q136">
            <v>10</v>
          </cell>
        </row>
        <row r="137">
          <cell r="D137" t="str">
            <v>T/N Needle DPX5 SAN10-FFG-09</v>
          </cell>
          <cell r="Q137">
            <v>28</v>
          </cell>
        </row>
        <row r="138">
          <cell r="D138" t="str">
            <v>T/N Needle DPX5 SAN10-FFG-10</v>
          </cell>
          <cell r="Q138">
            <v>9</v>
          </cell>
        </row>
        <row r="139">
          <cell r="D139" t="str">
            <v>T/N Needle DPX5 SAN10-FFG-11</v>
          </cell>
          <cell r="Q139">
            <v>82</v>
          </cell>
        </row>
        <row r="140">
          <cell r="D140" t="str">
            <v>T/N Needle DPX5 SAN10-FFG-12</v>
          </cell>
          <cell r="Q140">
            <v>9</v>
          </cell>
        </row>
        <row r="141">
          <cell r="D141" t="str">
            <v>T/N Needle DPX5 SAN10-R-07</v>
          </cell>
          <cell r="Q141">
            <v>10</v>
          </cell>
        </row>
        <row r="142">
          <cell r="D142" t="str">
            <v>T/N Needle DPX5 SAN6-RG-14</v>
          </cell>
          <cell r="Q142">
            <v>60</v>
          </cell>
        </row>
        <row r="143">
          <cell r="D143" t="str">
            <v>T/N Needle DPX5 SAN6-RG-16</v>
          </cell>
          <cell r="Q143">
            <v>85</v>
          </cell>
        </row>
        <row r="144">
          <cell r="D144" t="str">
            <v>T/N Needle DPX5-11</v>
          </cell>
          <cell r="Q144">
            <v>0</v>
          </cell>
        </row>
        <row r="145">
          <cell r="D145" t="str">
            <v>T/N Needle DPX5-14</v>
          </cell>
          <cell r="Q145">
            <v>0</v>
          </cell>
        </row>
        <row r="146">
          <cell r="D146" t="str">
            <v>T/N Needle DPX5-16</v>
          </cell>
          <cell r="Q146">
            <v>6</v>
          </cell>
        </row>
        <row r="147">
          <cell r="D147" t="str">
            <v>T/N Needle DPX5-FFG-09</v>
          </cell>
          <cell r="Q147">
            <v>17</v>
          </cell>
        </row>
        <row r="148">
          <cell r="D148" t="str">
            <v>T/N Needle DPX5-FFG-10</v>
          </cell>
          <cell r="Q148">
            <v>30</v>
          </cell>
        </row>
        <row r="149">
          <cell r="D149" t="str">
            <v>T/N Needle DPX5-FFG-11</v>
          </cell>
          <cell r="Q149">
            <v>35</v>
          </cell>
        </row>
        <row r="150">
          <cell r="D150" t="str">
            <v>T/N Needle DPX5-FFG-16</v>
          </cell>
          <cell r="Q150">
            <v>20</v>
          </cell>
        </row>
        <row r="151">
          <cell r="D151" t="str">
            <v>T/N Needle DPX5-FG-09</v>
          </cell>
          <cell r="Q151">
            <v>22</v>
          </cell>
        </row>
        <row r="152">
          <cell r="D152" t="str">
            <v>T/N Needle DPX5-FG-10</v>
          </cell>
          <cell r="Q152">
            <v>29</v>
          </cell>
        </row>
        <row r="153">
          <cell r="D153" t="str">
            <v>T/N Needle DPX5-FG-11</v>
          </cell>
          <cell r="Q153">
            <v>24</v>
          </cell>
        </row>
        <row r="154">
          <cell r="D154" t="str">
            <v>T/N Needle DPX5-FG-12</v>
          </cell>
          <cell r="Q154">
            <v>19</v>
          </cell>
        </row>
        <row r="155">
          <cell r="D155" t="str">
            <v>T/N Needle DPX5-FG-14</v>
          </cell>
          <cell r="Q155">
            <v>47</v>
          </cell>
        </row>
        <row r="156">
          <cell r="D156" t="str">
            <v>T/N Needle DPX5-FG-16</v>
          </cell>
          <cell r="Q156">
            <v>30</v>
          </cell>
        </row>
        <row r="157">
          <cell r="D157" t="str">
            <v>T/N Needle DPX5-R-07</v>
          </cell>
          <cell r="Q157">
            <v>92</v>
          </cell>
        </row>
        <row r="158">
          <cell r="D158" t="str">
            <v>T/N Needle DPX5-R-09</v>
          </cell>
          <cell r="Q158">
            <v>24</v>
          </cell>
        </row>
        <row r="159">
          <cell r="D159" t="str">
            <v>T/N Needle DPX5-R-10</v>
          </cell>
          <cell r="Q159">
            <v>20</v>
          </cell>
        </row>
        <row r="160">
          <cell r="D160" t="str">
            <v>T/N Needle DPX5-R-11</v>
          </cell>
          <cell r="Q160">
            <v>19</v>
          </cell>
        </row>
        <row r="161">
          <cell r="D161" t="str">
            <v>T/N Needle DPX5-R-12</v>
          </cell>
          <cell r="Q161">
            <v>9</v>
          </cell>
        </row>
        <row r="162">
          <cell r="D162" t="str">
            <v>T/N Needle DPX5-R-14</v>
          </cell>
          <cell r="Q162">
            <v>21</v>
          </cell>
        </row>
        <row r="163">
          <cell r="D163" t="str">
            <v>T/N Needle DPX5-R-16</v>
          </cell>
          <cell r="Q163">
            <v>18</v>
          </cell>
        </row>
        <row r="164">
          <cell r="D164" t="str">
            <v>T/N Needle DPX5-RS-09</v>
          </cell>
          <cell r="Q164">
            <v>70</v>
          </cell>
        </row>
        <row r="165">
          <cell r="D165" t="str">
            <v>T/N Needle DPX5-RS-16</v>
          </cell>
          <cell r="Q165">
            <v>20</v>
          </cell>
        </row>
        <row r="166">
          <cell r="D166" t="str">
            <v>HDMI Cable</v>
          </cell>
          <cell r="Q166">
            <v>3</v>
          </cell>
        </row>
        <row r="167">
          <cell r="D167" t="str">
            <v>Keyboard</v>
          </cell>
          <cell r="Q167">
            <v>0</v>
          </cell>
        </row>
        <row r="168">
          <cell r="D168" t="str">
            <v>Knife Snap (05587090-2)</v>
          </cell>
          <cell r="Q168">
            <v>0</v>
          </cell>
        </row>
        <row r="169">
          <cell r="D169" t="str">
            <v>Molded Platen (05595008)</v>
          </cell>
          <cell r="Q169">
            <v>0</v>
          </cell>
        </row>
        <row r="170">
          <cell r="D170" t="str">
            <v xml:space="preserve">Mouse Pad </v>
          </cell>
          <cell r="Q170">
            <v>0</v>
          </cell>
        </row>
        <row r="171">
          <cell r="D171" t="str">
            <v>Optical USB Mouse</v>
          </cell>
          <cell r="Q171">
            <v>0</v>
          </cell>
        </row>
        <row r="172">
          <cell r="D172" t="str">
            <v>Portable Camera Tripod</v>
          </cell>
          <cell r="Q172">
            <v>0</v>
          </cell>
        </row>
        <row r="173">
          <cell r="D173" t="str">
            <v>Printer Head (05581190)</v>
          </cell>
          <cell r="Q173">
            <v>0</v>
          </cell>
        </row>
        <row r="174">
          <cell r="D174" t="str">
            <v>Printer HP (M501DN)</v>
          </cell>
          <cell r="Q174">
            <v>0</v>
          </cell>
        </row>
        <row r="175">
          <cell r="D175" t="str">
            <v>Ram 8GB</v>
          </cell>
          <cell r="Q175">
            <v>0</v>
          </cell>
        </row>
        <row r="176">
          <cell r="D176" t="str">
            <v>Rechargeable Wireless Mouse</v>
          </cell>
          <cell r="Q176">
            <v>0</v>
          </cell>
        </row>
        <row r="177">
          <cell r="D177" t="str">
            <v>SSD Card</v>
          </cell>
          <cell r="Q177">
            <v>0</v>
          </cell>
        </row>
        <row r="178">
          <cell r="D178" t="str">
            <v>Wired Mouse</v>
          </cell>
          <cell r="Q178">
            <v>0</v>
          </cell>
        </row>
        <row r="179">
          <cell r="D179" t="str">
            <v xml:space="preserve"> ID Card Ribbon Printed With Clip-1.5 cm</v>
          </cell>
          <cell r="Q179">
            <v>0</v>
          </cell>
        </row>
        <row r="180">
          <cell r="D180" t="str">
            <v xml:space="preserve"> ID Card Ribbon Printed With Clip-2.5 cm</v>
          </cell>
          <cell r="Q180">
            <v>0</v>
          </cell>
        </row>
        <row r="181">
          <cell r="D181" t="str">
            <v xml:space="preserve"> ID Card Ribbon Printed-2 cm</v>
          </cell>
          <cell r="Q181">
            <v>0</v>
          </cell>
        </row>
        <row r="182">
          <cell r="D182" t="str">
            <v xml:space="preserve"> Plastic File Tray-3 Layer</v>
          </cell>
          <cell r="Q182">
            <v>7</v>
          </cell>
        </row>
        <row r="183">
          <cell r="D183" t="str">
            <v xml:space="preserve"> Tag Gun Machine</v>
          </cell>
          <cell r="Q183">
            <v>6</v>
          </cell>
        </row>
        <row r="184">
          <cell r="D184" t="str">
            <v xml:space="preserve"> Tag Pin-07mm</v>
          </cell>
          <cell r="Q184">
            <v>2</v>
          </cell>
        </row>
        <row r="185">
          <cell r="D185" t="str">
            <v xml:space="preserve"> Tag Pin-10mm</v>
          </cell>
          <cell r="Q185">
            <v>1</v>
          </cell>
        </row>
        <row r="186">
          <cell r="D186" t="str">
            <v xml:space="preserve"> Tag Pin-35mm</v>
          </cell>
          <cell r="Q186">
            <v>0</v>
          </cell>
        </row>
        <row r="187">
          <cell r="D187" t="str">
            <v xml:space="preserve"> Tag Pin-65mm</v>
          </cell>
          <cell r="Q187">
            <v>0</v>
          </cell>
        </row>
        <row r="188">
          <cell r="D188" t="str">
            <v>Adhesive Paper-A4 Size</v>
          </cell>
          <cell r="Q188">
            <v>22</v>
          </cell>
        </row>
        <row r="189">
          <cell r="D189" t="str">
            <v>Aerosol Insect Spray</v>
          </cell>
          <cell r="Q189">
            <v>0</v>
          </cell>
        </row>
        <row r="190">
          <cell r="D190" t="str">
            <v>Air Freshner Spray</v>
          </cell>
          <cell r="Q190">
            <v>23</v>
          </cell>
        </row>
        <row r="191">
          <cell r="D191" t="str">
            <v>Attendence Register</v>
          </cell>
          <cell r="Q191">
            <v>2</v>
          </cell>
        </row>
        <row r="192">
          <cell r="D192" t="str">
            <v>Ball Auto Sensor</v>
          </cell>
          <cell r="Q192">
            <v>0</v>
          </cell>
        </row>
        <row r="193">
          <cell r="D193" t="str">
            <v>Ball Pen-Black</v>
          </cell>
          <cell r="Q193">
            <v>0</v>
          </cell>
        </row>
        <row r="194">
          <cell r="D194" t="str">
            <v>Ball Pen-Blue</v>
          </cell>
          <cell r="Q194">
            <v>0</v>
          </cell>
        </row>
        <row r="195">
          <cell r="D195" t="str">
            <v>Ball Pen-Red</v>
          </cell>
          <cell r="Q195">
            <v>0</v>
          </cell>
        </row>
        <row r="196">
          <cell r="D196" t="str">
            <v>Binder Clip-19mm</v>
          </cell>
          <cell r="Q196">
            <v>24</v>
          </cell>
        </row>
        <row r="197">
          <cell r="D197" t="str">
            <v>Binder Clip-32mm</v>
          </cell>
          <cell r="Q197">
            <v>24</v>
          </cell>
        </row>
        <row r="198">
          <cell r="D198" t="str">
            <v>Binder Clip-41mm</v>
          </cell>
          <cell r="Q198">
            <v>0</v>
          </cell>
        </row>
        <row r="199">
          <cell r="D199" t="str">
            <v>Binder Clip-51mm</v>
          </cell>
          <cell r="Q199">
            <v>398</v>
          </cell>
        </row>
        <row r="200">
          <cell r="D200" t="str">
            <v>Binder Register Khata-16</v>
          </cell>
          <cell r="Q200">
            <v>23</v>
          </cell>
        </row>
        <row r="201">
          <cell r="D201" t="str">
            <v>Binder Register Khata-20</v>
          </cell>
          <cell r="Q201">
            <v>5</v>
          </cell>
        </row>
        <row r="202">
          <cell r="D202" t="str">
            <v>Binder Register Khata-30</v>
          </cell>
          <cell r="Q202">
            <v>2</v>
          </cell>
        </row>
        <row r="203">
          <cell r="D203" t="str">
            <v>Black Paint</v>
          </cell>
          <cell r="Q203">
            <v>0</v>
          </cell>
        </row>
        <row r="204">
          <cell r="D204" t="str">
            <v>Brush For Shoe Polish</v>
          </cell>
          <cell r="Q204">
            <v>4</v>
          </cell>
        </row>
        <row r="205">
          <cell r="D205" t="str">
            <v>Calculator CD-120</v>
          </cell>
          <cell r="Q205">
            <v>5</v>
          </cell>
        </row>
        <row r="206">
          <cell r="D206" t="str">
            <v>Calculator MJ-120 D Plus</v>
          </cell>
          <cell r="Q206">
            <v>2</v>
          </cell>
        </row>
        <row r="207">
          <cell r="D207" t="str">
            <v>Carbon Paper A4</v>
          </cell>
          <cell r="Q207">
            <v>2</v>
          </cell>
        </row>
        <row r="208">
          <cell r="D208" t="str">
            <v>Chemical Musk 305NP</v>
          </cell>
          <cell r="Q208">
            <v>23</v>
          </cell>
        </row>
        <row r="209">
          <cell r="D209" t="str">
            <v>Correction Pen</v>
          </cell>
          <cell r="Q209">
            <v>2</v>
          </cell>
        </row>
        <row r="210">
          <cell r="D210" t="str">
            <v>Cotton Bar</v>
          </cell>
          <cell r="Q210">
            <v>0</v>
          </cell>
        </row>
        <row r="211">
          <cell r="D211" t="str">
            <v>Denim Pen-09</v>
          </cell>
          <cell r="Q211">
            <v>2</v>
          </cell>
        </row>
        <row r="212">
          <cell r="D212" t="str">
            <v>Denim Pen-53</v>
          </cell>
          <cell r="Q212">
            <v>0</v>
          </cell>
        </row>
        <row r="213">
          <cell r="D213" t="str">
            <v>Denim Pen-74</v>
          </cell>
          <cell r="Q213">
            <v>5</v>
          </cell>
        </row>
        <row r="214">
          <cell r="D214" t="str">
            <v>Denim Pen-803</v>
          </cell>
          <cell r="Q214">
            <v>0</v>
          </cell>
        </row>
        <row r="215">
          <cell r="D215" t="str">
            <v>Denim Pen-805</v>
          </cell>
          <cell r="Q215">
            <v>0</v>
          </cell>
        </row>
        <row r="216">
          <cell r="D216" t="str">
            <v>Denim Pen-82</v>
          </cell>
          <cell r="Q216">
            <v>2</v>
          </cell>
        </row>
        <row r="217">
          <cell r="D217" t="str">
            <v>Denim Pen-83</v>
          </cell>
          <cell r="Q217">
            <v>3</v>
          </cell>
        </row>
        <row r="218">
          <cell r="D218" t="str">
            <v>Denim Pen-84</v>
          </cell>
          <cell r="Q218">
            <v>0</v>
          </cell>
        </row>
        <row r="219">
          <cell r="D219" t="str">
            <v>Digital Wall Clock</v>
          </cell>
          <cell r="Q219">
            <v>0</v>
          </cell>
        </row>
        <row r="220">
          <cell r="D220" t="str">
            <v>Door Lock Round</v>
          </cell>
          <cell r="Q220">
            <v>7</v>
          </cell>
        </row>
        <row r="221">
          <cell r="D221" t="str">
            <v>Electric Ketly</v>
          </cell>
          <cell r="Q221">
            <v>0</v>
          </cell>
        </row>
        <row r="222">
          <cell r="D222" t="str">
            <v xml:space="preserve">Envelup-25x32 </v>
          </cell>
          <cell r="Q222">
            <v>0</v>
          </cell>
        </row>
        <row r="223">
          <cell r="D223" t="str">
            <v>Envelup-A4 Size</v>
          </cell>
          <cell r="Q223">
            <v>350</v>
          </cell>
        </row>
        <row r="224">
          <cell r="D224" t="str">
            <v>Envelup-Small Size</v>
          </cell>
          <cell r="Q224">
            <v>900</v>
          </cell>
        </row>
        <row r="225">
          <cell r="D225" t="str">
            <v>EPSON-003 Refil Ink</v>
          </cell>
          <cell r="Q225">
            <v>0</v>
          </cell>
        </row>
        <row r="226">
          <cell r="D226" t="str">
            <v>Ereasser/Rubber</v>
          </cell>
          <cell r="Q226">
            <v>26</v>
          </cell>
        </row>
        <row r="227">
          <cell r="D227" t="str">
            <v>Fabrics For Fire Afron</v>
          </cell>
          <cell r="Q227">
            <v>0</v>
          </cell>
        </row>
        <row r="228">
          <cell r="D228" t="str">
            <v>Fabrics Stock Register</v>
          </cell>
          <cell r="Q228">
            <v>2</v>
          </cell>
        </row>
        <row r="229">
          <cell r="D229" t="str">
            <v>File Gallery</v>
          </cell>
          <cell r="Q229">
            <v>0</v>
          </cell>
        </row>
        <row r="230">
          <cell r="D230" t="str">
            <v>Gel Pen-White</v>
          </cell>
          <cell r="Q230">
            <v>0</v>
          </cell>
        </row>
        <row r="231">
          <cell r="D231" t="str">
            <v>Glue Stick-15gm</v>
          </cell>
          <cell r="Q231">
            <v>5</v>
          </cell>
        </row>
        <row r="232">
          <cell r="D232" t="str">
            <v>Glue Stick-21gm</v>
          </cell>
          <cell r="Q232">
            <v>5</v>
          </cell>
        </row>
        <row r="233">
          <cell r="D233" t="str">
            <v>Hear Pin</v>
          </cell>
          <cell r="Q233">
            <v>1</v>
          </cell>
        </row>
        <row r="234">
          <cell r="D234" t="str">
            <v>Hi-Light Pen-Blue</v>
          </cell>
          <cell r="Q234">
            <v>34</v>
          </cell>
        </row>
        <row r="235">
          <cell r="D235" t="str">
            <v>Hi-Light Pen-Green</v>
          </cell>
          <cell r="Q235">
            <v>8</v>
          </cell>
        </row>
        <row r="236">
          <cell r="D236" t="str">
            <v>Hi-Light Pen-Red</v>
          </cell>
          <cell r="Q236">
            <v>10</v>
          </cell>
        </row>
        <row r="237">
          <cell r="D237" t="str">
            <v>Hi-Light Pen-Yellow</v>
          </cell>
          <cell r="Q237">
            <v>23</v>
          </cell>
        </row>
        <row r="238">
          <cell r="D238" t="str">
            <v>HP GT53 Black  Ink</v>
          </cell>
          <cell r="Q238">
            <v>0</v>
          </cell>
        </row>
        <row r="239">
          <cell r="D239" t="str">
            <v>Humana Apparels Register -400 Pge</v>
          </cell>
          <cell r="Q239">
            <v>2</v>
          </cell>
        </row>
        <row r="240">
          <cell r="D240" t="str">
            <v>Humana Note Book</v>
          </cell>
          <cell r="Q240">
            <v>0</v>
          </cell>
        </row>
        <row r="241">
          <cell r="D241" t="str">
            <v>ID Card Punch Machine (Big)</v>
          </cell>
          <cell r="Q241">
            <v>0</v>
          </cell>
        </row>
        <row r="242">
          <cell r="D242" t="str">
            <v>ID Card Punch Machine (Small)</v>
          </cell>
          <cell r="Q242">
            <v>0</v>
          </cell>
        </row>
        <row r="243">
          <cell r="D243" t="str">
            <v>Kitchin Room Sink-36x18"</v>
          </cell>
          <cell r="Q243">
            <v>0</v>
          </cell>
        </row>
        <row r="244">
          <cell r="D244" t="str">
            <v>Laminating Paper Legal Size</v>
          </cell>
          <cell r="Q244">
            <v>3</v>
          </cell>
        </row>
        <row r="245">
          <cell r="D245" t="str">
            <v>Laminating Paper-A4 Size</v>
          </cell>
          <cell r="Q245">
            <v>0</v>
          </cell>
        </row>
        <row r="246">
          <cell r="D246" t="str">
            <v>Laminating Paper-ID Card Size</v>
          </cell>
          <cell r="Q246">
            <v>22</v>
          </cell>
        </row>
        <row r="247">
          <cell r="D247" t="str">
            <v>Layout Plan Design Drawing</v>
          </cell>
          <cell r="Q247">
            <v>0</v>
          </cell>
        </row>
        <row r="248">
          <cell r="D248" t="str">
            <v>Lead Pencil Refill-0.5mm</v>
          </cell>
          <cell r="Q248">
            <v>21</v>
          </cell>
        </row>
        <row r="249">
          <cell r="D249" t="str">
            <v>Lead Pencil Refill-0.7mm</v>
          </cell>
          <cell r="Q249">
            <v>5</v>
          </cell>
        </row>
        <row r="250">
          <cell r="D250" t="str">
            <v>Lead Pencil-0.5mm</v>
          </cell>
          <cell r="Q250">
            <v>0</v>
          </cell>
        </row>
        <row r="251">
          <cell r="D251" t="str">
            <v>Ledger Register-16</v>
          </cell>
          <cell r="Q251">
            <v>1</v>
          </cell>
        </row>
        <row r="252">
          <cell r="D252" t="str">
            <v>Lock &amp;Key</v>
          </cell>
          <cell r="Q252">
            <v>0</v>
          </cell>
        </row>
        <row r="253">
          <cell r="D253" t="str">
            <v>Lock &amp;Key( Big)</v>
          </cell>
          <cell r="Q253">
            <v>0</v>
          </cell>
        </row>
        <row r="254">
          <cell r="D254" t="str">
            <v>Lock Pin (Black)-07"</v>
          </cell>
          <cell r="Q254">
            <v>15</v>
          </cell>
        </row>
        <row r="255">
          <cell r="D255" t="str">
            <v>Lock Pin (White)-07"</v>
          </cell>
          <cell r="Q255">
            <v>163</v>
          </cell>
        </row>
        <row r="256">
          <cell r="D256" t="str">
            <v>M/C Tuli Brush-01"</v>
          </cell>
          <cell r="Q256">
            <v>240</v>
          </cell>
        </row>
        <row r="257">
          <cell r="D257" t="str">
            <v>Magic Chaco Ace Pen</v>
          </cell>
          <cell r="Q257">
            <v>50</v>
          </cell>
        </row>
        <row r="258">
          <cell r="D258" t="str">
            <v>Magic Pen Blue</v>
          </cell>
          <cell r="Q258">
            <v>277</v>
          </cell>
        </row>
        <row r="259">
          <cell r="D259" t="str">
            <v>Medical Door Curtain</v>
          </cell>
          <cell r="Q259">
            <v>0</v>
          </cell>
        </row>
        <row r="260">
          <cell r="D260" t="str">
            <v>Medical Room Parition</v>
          </cell>
          <cell r="Q260">
            <v>0</v>
          </cell>
        </row>
        <row r="261">
          <cell r="D261" t="str">
            <v>Mineral Water-330ml</v>
          </cell>
          <cell r="Q261">
            <v>0</v>
          </cell>
        </row>
        <row r="262">
          <cell r="D262" t="str">
            <v>Mineral Water-500ml</v>
          </cell>
          <cell r="Q262">
            <v>0</v>
          </cell>
        </row>
        <row r="263">
          <cell r="D263" t="str">
            <v>Office Paper File</v>
          </cell>
          <cell r="Q263">
            <v>479</v>
          </cell>
        </row>
        <row r="264">
          <cell r="D264" t="str">
            <v>Offset Paper-A4 Size</v>
          </cell>
          <cell r="Q264">
            <v>8</v>
          </cell>
        </row>
        <row r="265">
          <cell r="D265" t="str">
            <v>Offset Paper-Legal Size</v>
          </cell>
          <cell r="Q265">
            <v>4</v>
          </cell>
        </row>
        <row r="266">
          <cell r="D266" t="str">
            <v>Paper Basket</v>
          </cell>
          <cell r="Q266">
            <v>115</v>
          </cell>
        </row>
        <row r="267">
          <cell r="D267" t="str">
            <v>Paper Box File</v>
          </cell>
          <cell r="Q267">
            <v>50</v>
          </cell>
        </row>
        <row r="268">
          <cell r="D268" t="str">
            <v>Paper Busket Metal</v>
          </cell>
          <cell r="Q268">
            <v>0</v>
          </cell>
        </row>
        <row r="269">
          <cell r="D269" t="str">
            <v>Paper Weight</v>
          </cell>
          <cell r="Q269">
            <v>0</v>
          </cell>
        </row>
        <row r="270">
          <cell r="D270" t="str">
            <v>Pencil Battery AA</v>
          </cell>
          <cell r="Q270">
            <v>0</v>
          </cell>
        </row>
        <row r="271">
          <cell r="D271" t="str">
            <v>Pencil Battery AAA</v>
          </cell>
          <cell r="Q271">
            <v>19</v>
          </cell>
        </row>
        <row r="272">
          <cell r="D272" t="str">
            <v>Pencil Cutter/ Sharpner</v>
          </cell>
          <cell r="Q272">
            <v>21</v>
          </cell>
        </row>
        <row r="273">
          <cell r="D273" t="str">
            <v>Pin Remover</v>
          </cell>
          <cell r="Q273">
            <v>2</v>
          </cell>
        </row>
        <row r="274">
          <cell r="D274" t="str">
            <v>Plastic Cargo Box-30 Ltr</v>
          </cell>
          <cell r="Q274">
            <v>0</v>
          </cell>
        </row>
        <row r="275">
          <cell r="D275" t="str">
            <v>Plastic Cargo Box-70 Ltr</v>
          </cell>
          <cell r="Q275">
            <v>0</v>
          </cell>
        </row>
        <row r="276">
          <cell r="D276" t="str">
            <v>Plastic Cargo Box-80 Ltr</v>
          </cell>
          <cell r="Q276">
            <v>0</v>
          </cell>
        </row>
        <row r="277">
          <cell r="D277" t="str">
            <v>Plastic Clip</v>
          </cell>
          <cell r="Q277">
            <v>24</v>
          </cell>
        </row>
        <row r="278">
          <cell r="D278" t="str">
            <v>Plastic File Folder-01"</v>
          </cell>
          <cell r="Q278">
            <v>72</v>
          </cell>
        </row>
        <row r="279">
          <cell r="D279" t="str">
            <v>Plastic Floor Mat</v>
          </cell>
          <cell r="Q279">
            <v>0</v>
          </cell>
        </row>
        <row r="280">
          <cell r="D280" t="str">
            <v>Plastic Magazine File</v>
          </cell>
          <cell r="Q280">
            <v>46</v>
          </cell>
        </row>
        <row r="281">
          <cell r="D281" t="str">
            <v>Plastic Pvc Net</v>
          </cell>
          <cell r="Q281">
            <v>1</v>
          </cell>
        </row>
        <row r="282">
          <cell r="D282" t="str">
            <v>Plastic Report File</v>
          </cell>
          <cell r="Q282">
            <v>13</v>
          </cell>
        </row>
        <row r="283">
          <cell r="D283" t="str">
            <v>Prayer Mat</v>
          </cell>
          <cell r="Q283">
            <v>2</v>
          </cell>
        </row>
        <row r="284">
          <cell r="D284" t="str">
            <v>Printer Cartridge-87 A</v>
          </cell>
          <cell r="Q284">
            <v>2</v>
          </cell>
        </row>
        <row r="285">
          <cell r="D285" t="str">
            <v>Printer Cartridge-HP 45</v>
          </cell>
          <cell r="Q285">
            <v>18</v>
          </cell>
        </row>
        <row r="286">
          <cell r="D286" t="str">
            <v>Printer Cartridge-LBP 6030</v>
          </cell>
          <cell r="Q286">
            <v>1</v>
          </cell>
        </row>
        <row r="287">
          <cell r="D287" t="str">
            <v>Printer Cartridge-LBP 6030W</v>
          </cell>
          <cell r="Q287">
            <v>0</v>
          </cell>
        </row>
        <row r="288">
          <cell r="D288" t="str">
            <v>Punch Machine-DP 280</v>
          </cell>
          <cell r="Q288">
            <v>10</v>
          </cell>
        </row>
        <row r="289">
          <cell r="D289" t="str">
            <v>Punch Machine-DP 700</v>
          </cell>
          <cell r="Q289">
            <v>1</v>
          </cell>
        </row>
        <row r="290">
          <cell r="D290" t="str">
            <v>Push Pin</v>
          </cell>
          <cell r="Q290">
            <v>0</v>
          </cell>
        </row>
        <row r="291">
          <cell r="D291" t="str">
            <v>Pvc Banner-8'x4'</v>
          </cell>
          <cell r="Q291">
            <v>0</v>
          </cell>
        </row>
        <row r="292">
          <cell r="D292" t="str">
            <v>Rabber Mate (132"x39")</v>
          </cell>
          <cell r="Q292">
            <v>0</v>
          </cell>
        </row>
        <row r="293">
          <cell r="D293" t="str">
            <v>Rabber Mate (30x40)"</v>
          </cell>
          <cell r="Q293">
            <v>0</v>
          </cell>
        </row>
        <row r="294">
          <cell r="D294" t="str">
            <v>Red Paint</v>
          </cell>
          <cell r="Q294">
            <v>0</v>
          </cell>
        </row>
        <row r="295">
          <cell r="D295" t="str">
            <v>Register Khata-40</v>
          </cell>
          <cell r="Q295">
            <v>66</v>
          </cell>
        </row>
        <row r="296">
          <cell r="D296" t="str">
            <v>Ring File/Clip File-01"</v>
          </cell>
          <cell r="Q296">
            <v>0</v>
          </cell>
        </row>
        <row r="297">
          <cell r="D297" t="str">
            <v>Ring File/Clip File-02"</v>
          </cell>
          <cell r="Q297">
            <v>4</v>
          </cell>
        </row>
        <row r="298">
          <cell r="D298" t="str">
            <v>Ring File/Clip File-03"</v>
          </cell>
          <cell r="Q298">
            <v>0</v>
          </cell>
        </row>
        <row r="299">
          <cell r="D299" t="str">
            <v>Roller Brush-04"</v>
          </cell>
          <cell r="Q299">
            <v>4</v>
          </cell>
        </row>
        <row r="300">
          <cell r="D300" t="str">
            <v>Rope</v>
          </cell>
          <cell r="Q300">
            <v>1.5499999999999994</v>
          </cell>
        </row>
        <row r="301">
          <cell r="D301" t="str">
            <v>Round Lock-85mm</v>
          </cell>
          <cell r="Q301">
            <v>0</v>
          </cell>
        </row>
        <row r="302">
          <cell r="D302" t="str">
            <v>Rubber Seal Narmal</v>
          </cell>
          <cell r="Q302">
            <v>2</v>
          </cell>
        </row>
        <row r="303">
          <cell r="D303" t="str">
            <v>Rubber Seal Narmal-20mm</v>
          </cell>
          <cell r="Q303">
            <v>0</v>
          </cell>
        </row>
        <row r="304">
          <cell r="D304" t="str">
            <v>Rubber Seal Narmal-64x22mm</v>
          </cell>
          <cell r="Q304">
            <v>0</v>
          </cell>
        </row>
        <row r="305">
          <cell r="D305" t="str">
            <v>Rubber Seal Narmal-84x40mm</v>
          </cell>
          <cell r="Q305">
            <v>0</v>
          </cell>
        </row>
        <row r="306">
          <cell r="D306" t="str">
            <v>Safety Pin</v>
          </cell>
          <cell r="Q306">
            <v>0</v>
          </cell>
        </row>
        <row r="307">
          <cell r="D307" t="str">
            <v>School Bag</v>
          </cell>
          <cell r="Q307">
            <v>0</v>
          </cell>
        </row>
        <row r="308">
          <cell r="D308" t="str">
            <v>Self Inking Stamp Refil Ink-30ml</v>
          </cell>
          <cell r="Q308">
            <v>9</v>
          </cell>
        </row>
        <row r="309">
          <cell r="D309" t="str">
            <v>Self Inking Stamp-Auto</v>
          </cell>
          <cell r="Q309">
            <v>7</v>
          </cell>
        </row>
        <row r="310">
          <cell r="D310" t="str">
            <v>Sheet Protector</v>
          </cell>
          <cell r="Q310">
            <v>400</v>
          </cell>
        </row>
        <row r="311">
          <cell r="D311" t="str">
            <v>Shoe Polish</v>
          </cell>
          <cell r="Q311">
            <v>0</v>
          </cell>
        </row>
        <row r="312">
          <cell r="D312" t="str">
            <v>Socks For Sequrity</v>
          </cell>
          <cell r="Q312">
            <v>0</v>
          </cell>
        </row>
        <row r="313">
          <cell r="D313" t="str">
            <v>Staff ID Card</v>
          </cell>
          <cell r="Q313">
            <v>0</v>
          </cell>
        </row>
        <row r="314">
          <cell r="D314" t="str">
            <v>Stamp Pad No-02</v>
          </cell>
          <cell r="Q314">
            <v>0</v>
          </cell>
        </row>
        <row r="315">
          <cell r="D315" t="str">
            <v>Stapler</v>
          </cell>
          <cell r="Q315">
            <v>6</v>
          </cell>
        </row>
        <row r="316">
          <cell r="D316" t="str">
            <v>Stapler pin</v>
          </cell>
          <cell r="Q316">
            <v>0</v>
          </cell>
        </row>
        <row r="317">
          <cell r="D317" t="str">
            <v>Steel Scale-06"</v>
          </cell>
          <cell r="Q317">
            <v>2</v>
          </cell>
        </row>
        <row r="318">
          <cell r="D318" t="str">
            <v>Steel Scale-12"</v>
          </cell>
          <cell r="Q318">
            <v>16</v>
          </cell>
        </row>
        <row r="319">
          <cell r="D319" t="str">
            <v>Steel Scale-24"</v>
          </cell>
          <cell r="Q319">
            <v>0</v>
          </cell>
        </row>
        <row r="320">
          <cell r="D320" t="str">
            <v>Steel Scale-40"</v>
          </cell>
          <cell r="Q320">
            <v>0</v>
          </cell>
        </row>
        <row r="321">
          <cell r="D321" t="str">
            <v>Stick Up Liquid Glue-50ml</v>
          </cell>
          <cell r="Q321">
            <v>10</v>
          </cell>
        </row>
        <row r="322">
          <cell r="D322" t="str">
            <v>Sticky Notebook</v>
          </cell>
          <cell r="Q322">
            <v>23</v>
          </cell>
        </row>
        <row r="323">
          <cell r="D323" t="str">
            <v>Stock Register-10</v>
          </cell>
          <cell r="Q323">
            <v>0</v>
          </cell>
        </row>
        <row r="324">
          <cell r="D324" t="str">
            <v>Stock Register-16</v>
          </cell>
          <cell r="Q324">
            <v>8</v>
          </cell>
        </row>
        <row r="325">
          <cell r="D325" t="str">
            <v>Stock Register-20</v>
          </cell>
          <cell r="Q325">
            <v>5</v>
          </cell>
        </row>
        <row r="326">
          <cell r="D326" t="str">
            <v>Stock Register-30</v>
          </cell>
          <cell r="Q326">
            <v>0</v>
          </cell>
        </row>
        <row r="327">
          <cell r="D327" t="str">
            <v>Stuff ID Card Holder</v>
          </cell>
          <cell r="Q327">
            <v>700</v>
          </cell>
        </row>
        <row r="328">
          <cell r="D328" t="str">
            <v>Surgical Face Mask</v>
          </cell>
          <cell r="Q328">
            <v>20</v>
          </cell>
        </row>
        <row r="329">
          <cell r="D329" t="str">
            <v>Surgical Hand Gloves</v>
          </cell>
          <cell r="Q329">
            <v>0</v>
          </cell>
        </row>
        <row r="330">
          <cell r="D330" t="str">
            <v>Tag Pin-125mm</v>
          </cell>
          <cell r="Q330">
            <v>0</v>
          </cell>
        </row>
        <row r="331">
          <cell r="D331" t="str">
            <v>Tag Pin-15mm</v>
          </cell>
          <cell r="Q331">
            <v>2</v>
          </cell>
        </row>
        <row r="332">
          <cell r="D332" t="str">
            <v>Tag Pin-5mm</v>
          </cell>
          <cell r="Q332">
            <v>2</v>
          </cell>
        </row>
        <row r="333">
          <cell r="D333" t="str">
            <v>Tea Bag</v>
          </cell>
          <cell r="Q333">
            <v>0</v>
          </cell>
        </row>
        <row r="334">
          <cell r="D334" t="str">
            <v>Thermo Paper</v>
          </cell>
          <cell r="Q334">
            <v>0</v>
          </cell>
        </row>
        <row r="335">
          <cell r="D335" t="str">
            <v>Tooth Brush</v>
          </cell>
          <cell r="Q335">
            <v>21</v>
          </cell>
        </row>
        <row r="336">
          <cell r="D336" t="str">
            <v xml:space="preserve">Vernier Scale Battery </v>
          </cell>
          <cell r="Q336">
            <v>3</v>
          </cell>
        </row>
        <row r="337">
          <cell r="D337" t="str">
            <v>Visiting Card</v>
          </cell>
          <cell r="Q337">
            <v>11800</v>
          </cell>
        </row>
        <row r="338">
          <cell r="D338" t="str">
            <v>Visiting Card Holder</v>
          </cell>
          <cell r="Q338">
            <v>0</v>
          </cell>
        </row>
        <row r="339">
          <cell r="D339" t="str">
            <v>Wall Clock-14"</v>
          </cell>
          <cell r="Q339">
            <v>0</v>
          </cell>
        </row>
        <row r="340">
          <cell r="D340" t="str">
            <v>Warning Tape-3"</v>
          </cell>
          <cell r="Q340">
            <v>2</v>
          </cell>
        </row>
        <row r="341">
          <cell r="D341" t="str">
            <v>Worker ID Card Ribbon Printed-1.5cm</v>
          </cell>
          <cell r="Q341">
            <v>0</v>
          </cell>
        </row>
        <row r="342">
          <cell r="D342" t="str">
            <v>Yellow Paint</v>
          </cell>
          <cell r="Q342">
            <v>0</v>
          </cell>
        </row>
        <row r="343">
          <cell r="D343" t="str">
            <v>Abrasive Belt</v>
          </cell>
          <cell r="Q343">
            <v>10</v>
          </cell>
        </row>
        <row r="344">
          <cell r="D344" t="str">
            <v>Anty Cutter Knife-18mm</v>
          </cell>
          <cell r="Q344">
            <v>34</v>
          </cell>
        </row>
        <row r="345">
          <cell r="D345" t="str">
            <v>Anty Cutter-18mm</v>
          </cell>
          <cell r="Q345">
            <v>4</v>
          </cell>
        </row>
        <row r="346">
          <cell r="D346" t="str">
            <v>Anty Cutter-5mm</v>
          </cell>
          <cell r="Q346">
            <v>0</v>
          </cell>
        </row>
        <row r="347">
          <cell r="D347" t="str">
            <v>Arrow Sticker</v>
          </cell>
          <cell r="Q347">
            <v>13</v>
          </cell>
        </row>
        <row r="348">
          <cell r="D348" t="str">
            <v>Artist Braush -1"</v>
          </cell>
          <cell r="Q348">
            <v>0</v>
          </cell>
        </row>
        <row r="349">
          <cell r="D349" t="str">
            <v>B/T Stitch Opener</v>
          </cell>
          <cell r="Q349">
            <v>0</v>
          </cell>
        </row>
        <row r="350">
          <cell r="D350" t="str">
            <v>Bin Card</v>
          </cell>
          <cell r="Q350">
            <v>1000</v>
          </cell>
        </row>
        <row r="351">
          <cell r="D351" t="str">
            <v>Board Pin/Top Kata</v>
          </cell>
          <cell r="Q351">
            <v>600</v>
          </cell>
        </row>
        <row r="352">
          <cell r="D352" t="str">
            <v>Bokrom for Template</v>
          </cell>
          <cell r="Q352">
            <v>22</v>
          </cell>
        </row>
        <row r="353">
          <cell r="D353" t="str">
            <v>Bolt Seal Lock</v>
          </cell>
          <cell r="Q353">
            <v>0</v>
          </cell>
        </row>
        <row r="354">
          <cell r="D354" t="str">
            <v>Bone Cutting Scissors</v>
          </cell>
          <cell r="Q354">
            <v>38</v>
          </cell>
        </row>
        <row r="355">
          <cell r="D355" t="str">
            <v>Both Side Tape 01cm White</v>
          </cell>
          <cell r="Q355">
            <v>267</v>
          </cell>
        </row>
        <row r="356">
          <cell r="D356" t="str">
            <v>Both Side Tape 01cm Yellow</v>
          </cell>
          <cell r="Q356">
            <v>401</v>
          </cell>
        </row>
        <row r="357">
          <cell r="D357" t="str">
            <v>C/M Auto Numbering Machine</v>
          </cell>
          <cell r="Q357">
            <v>2</v>
          </cell>
        </row>
        <row r="358">
          <cell r="D358" t="str">
            <v>C/M Metal Hand Gloves</v>
          </cell>
          <cell r="Q358">
            <v>0</v>
          </cell>
        </row>
        <row r="359">
          <cell r="D359" t="str">
            <v>C/M Numbering Ink-Black</v>
          </cell>
          <cell r="Q359">
            <v>3</v>
          </cell>
        </row>
        <row r="360">
          <cell r="D360" t="str">
            <v>C/M Numbering Ink-Red</v>
          </cell>
          <cell r="Q360">
            <v>0</v>
          </cell>
        </row>
        <row r="361">
          <cell r="D361" t="str">
            <v>C/M Numbering Ink-Silver</v>
          </cell>
          <cell r="Q361">
            <v>4</v>
          </cell>
        </row>
        <row r="362">
          <cell r="D362" t="str">
            <v>C/M Numbering Ink-White</v>
          </cell>
          <cell r="Q362">
            <v>2</v>
          </cell>
        </row>
        <row r="363">
          <cell r="D363" t="str">
            <v>C/M Numbering Machine-08 Digit</v>
          </cell>
          <cell r="Q363">
            <v>6</v>
          </cell>
        </row>
        <row r="364">
          <cell r="D364" t="str">
            <v>C/M Numbering Sticker-Medium</v>
          </cell>
          <cell r="Q364">
            <v>360</v>
          </cell>
        </row>
        <row r="365">
          <cell r="D365" t="str">
            <v>C/M Numbering Sticker-PPH</v>
          </cell>
          <cell r="Q365">
            <v>0</v>
          </cell>
        </row>
        <row r="366">
          <cell r="D366" t="str">
            <v>C/M Sticker Ink/Blitz Ink</v>
          </cell>
          <cell r="Q366">
            <v>11</v>
          </cell>
        </row>
        <row r="367">
          <cell r="D367" t="str">
            <v>Candle/Mom</v>
          </cell>
          <cell r="Q367">
            <v>15</v>
          </cell>
        </row>
        <row r="368">
          <cell r="D368" t="str">
            <v>CD-DVD Marker Pen</v>
          </cell>
          <cell r="Q368">
            <v>146</v>
          </cell>
        </row>
        <row r="369">
          <cell r="D369" t="str">
            <v>Clip Board/Hard Board</v>
          </cell>
          <cell r="Q369">
            <v>51</v>
          </cell>
        </row>
        <row r="370">
          <cell r="D370" t="str">
            <v>Cooling Water</v>
          </cell>
          <cell r="Q370">
            <v>16</v>
          </cell>
        </row>
        <row r="371">
          <cell r="D371" t="str">
            <v>Cotton Hand Gloves</v>
          </cell>
          <cell r="Q371">
            <v>11</v>
          </cell>
        </row>
        <row r="372">
          <cell r="D372" t="str">
            <v>Cutting Clip/Clamp-08"</v>
          </cell>
          <cell r="Q372">
            <v>24</v>
          </cell>
        </row>
        <row r="373">
          <cell r="D373" t="str">
            <v>Cutting Knife-06"</v>
          </cell>
          <cell r="Q373">
            <v>108</v>
          </cell>
        </row>
        <row r="374">
          <cell r="D374" t="str">
            <v>Cutting Knife-08"</v>
          </cell>
          <cell r="Q374">
            <v>123</v>
          </cell>
        </row>
        <row r="375">
          <cell r="D375" t="str">
            <v>Cutting Knife-10"</v>
          </cell>
          <cell r="Q375">
            <v>35</v>
          </cell>
        </row>
        <row r="376">
          <cell r="D376" t="str">
            <v>Drill M/C Charger</v>
          </cell>
          <cell r="Q376">
            <v>0</v>
          </cell>
        </row>
        <row r="377">
          <cell r="D377" t="str">
            <v>Ear Plug</v>
          </cell>
          <cell r="Q377">
            <v>0</v>
          </cell>
        </row>
        <row r="378">
          <cell r="D378" t="str">
            <v>Ear Plug-3mm</v>
          </cell>
          <cell r="Q378">
            <v>0</v>
          </cell>
        </row>
        <row r="379">
          <cell r="D379" t="str">
            <v>Finger Balloon</v>
          </cell>
          <cell r="Q379">
            <v>467</v>
          </cell>
        </row>
        <row r="380">
          <cell r="D380" t="str">
            <v>Foam Tape-3.4 Feet</v>
          </cell>
          <cell r="Q380">
            <v>1060</v>
          </cell>
        </row>
        <row r="381">
          <cell r="D381" t="str">
            <v>Fushing Machine Suppoting Table Stand</v>
          </cell>
          <cell r="Q381">
            <v>2</v>
          </cell>
        </row>
        <row r="382">
          <cell r="D382" t="str">
            <v>Fusing  Machine Powder</v>
          </cell>
          <cell r="Q382">
            <v>5</v>
          </cell>
        </row>
        <row r="383">
          <cell r="D383" t="str">
            <v>Garments Basket-150 Ltr</v>
          </cell>
          <cell r="Q383">
            <v>0</v>
          </cell>
        </row>
        <row r="384">
          <cell r="D384" t="str">
            <v>Garments Basket-200 Ltr</v>
          </cell>
          <cell r="Q384">
            <v>0</v>
          </cell>
        </row>
        <row r="385">
          <cell r="D385" t="str">
            <v>Gel Pen-Black</v>
          </cell>
          <cell r="Q385">
            <v>6</v>
          </cell>
        </row>
        <row r="386">
          <cell r="D386" t="str">
            <v>Gel Pen-Blue</v>
          </cell>
          <cell r="Q386">
            <v>10</v>
          </cell>
        </row>
        <row r="387">
          <cell r="D387" t="str">
            <v>Gel Pen-Green</v>
          </cell>
          <cell r="Q387">
            <v>0</v>
          </cell>
        </row>
        <row r="388">
          <cell r="D388" t="str">
            <v>Gel Pen-Red</v>
          </cell>
          <cell r="Q388">
            <v>2</v>
          </cell>
        </row>
        <row r="389">
          <cell r="D389" t="str">
            <v>Gel Pen-Silver</v>
          </cell>
          <cell r="Q389">
            <v>102</v>
          </cell>
        </row>
        <row r="390">
          <cell r="D390" t="str">
            <v>Glass Marking Pencil</v>
          </cell>
          <cell r="Q390">
            <v>485</v>
          </cell>
        </row>
        <row r="391">
          <cell r="D391" t="str">
            <v>Grading Scale-18"</v>
          </cell>
          <cell r="Q391">
            <v>16</v>
          </cell>
        </row>
        <row r="392">
          <cell r="D392" t="str">
            <v>GSM Cutter Blade</v>
          </cell>
          <cell r="Q392">
            <v>5</v>
          </cell>
        </row>
        <row r="393">
          <cell r="D393" t="str">
            <v>GSM Cutter Board-Round</v>
          </cell>
          <cell r="Q393">
            <v>0</v>
          </cell>
        </row>
        <row r="394">
          <cell r="D394" t="str">
            <v>GSM Cutter Machine</v>
          </cell>
          <cell r="Q394">
            <v>0</v>
          </cell>
        </row>
        <row r="395">
          <cell r="D395" t="str">
            <v>Gum Tape 0.5" Transparent</v>
          </cell>
          <cell r="Q395">
            <v>0</v>
          </cell>
        </row>
        <row r="396">
          <cell r="D396" t="str">
            <v>Gum Tape 01" Transparent</v>
          </cell>
          <cell r="Q396">
            <v>376</v>
          </cell>
        </row>
        <row r="397">
          <cell r="D397" t="str">
            <v>Gum Tape 03" Transparent</v>
          </cell>
          <cell r="Q397">
            <v>0</v>
          </cell>
        </row>
        <row r="398">
          <cell r="D398" t="str">
            <v>Gum Tape 2.5" Green</v>
          </cell>
          <cell r="Q398">
            <v>34</v>
          </cell>
        </row>
        <row r="399">
          <cell r="D399" t="str">
            <v>Gum Tape 2.5" Transparent</v>
          </cell>
          <cell r="Q399">
            <v>154</v>
          </cell>
        </row>
        <row r="400">
          <cell r="D400" t="str">
            <v>Gum Tape 2.5" Yellow</v>
          </cell>
          <cell r="Q400">
            <v>18</v>
          </cell>
        </row>
        <row r="401">
          <cell r="D401" t="str">
            <v>Hammer Rubber 450gm</v>
          </cell>
          <cell r="Q401">
            <v>10</v>
          </cell>
        </row>
        <row r="402">
          <cell r="D402" t="str">
            <v>Hammer Rubber 700gm</v>
          </cell>
          <cell r="Q402">
            <v>3</v>
          </cell>
        </row>
        <row r="403">
          <cell r="D403" t="str">
            <v>Humana's Sample Tag</v>
          </cell>
          <cell r="Q403">
            <v>320</v>
          </cell>
        </row>
        <row r="404">
          <cell r="D404" t="str">
            <v>Iron Foam</v>
          </cell>
          <cell r="Q404">
            <v>14</v>
          </cell>
        </row>
        <row r="405">
          <cell r="D405" t="str">
            <v>Iron Table Fabric</v>
          </cell>
          <cell r="Q405">
            <v>0</v>
          </cell>
        </row>
        <row r="406">
          <cell r="D406" t="str">
            <v>Iron Table Fabric-Black</v>
          </cell>
          <cell r="Q406">
            <v>0</v>
          </cell>
        </row>
        <row r="407">
          <cell r="D407" t="str">
            <v>Iron Table Fabric-Navy</v>
          </cell>
          <cell r="Q407">
            <v>0</v>
          </cell>
        </row>
        <row r="408">
          <cell r="D408" t="str">
            <v>Kerosene Oil</v>
          </cell>
          <cell r="Q408">
            <v>0</v>
          </cell>
        </row>
        <row r="409">
          <cell r="D409" t="str">
            <v>Knit Fabrics (Jhute)</v>
          </cell>
          <cell r="Q409">
            <v>9.9999999999965894E-2</v>
          </cell>
        </row>
        <row r="410">
          <cell r="D410" t="str">
            <v>Label Cutting Machine</v>
          </cell>
          <cell r="Q410">
            <v>1</v>
          </cell>
        </row>
        <row r="411">
          <cell r="D411" t="str">
            <v>Light Stand</v>
          </cell>
          <cell r="Q411">
            <v>0</v>
          </cell>
        </row>
        <row r="412">
          <cell r="D412" t="str">
            <v>Magic Chalk-China</v>
          </cell>
          <cell r="Q412">
            <v>1</v>
          </cell>
        </row>
        <row r="413">
          <cell r="D413" t="str">
            <v>Magic Chalk-Rose</v>
          </cell>
          <cell r="Q413">
            <v>211</v>
          </cell>
        </row>
        <row r="414">
          <cell r="D414" t="str">
            <v>Magic Pen Red</v>
          </cell>
          <cell r="Q414">
            <v>400</v>
          </cell>
        </row>
        <row r="415">
          <cell r="D415" t="str">
            <v>Magic Pen White</v>
          </cell>
          <cell r="Q415">
            <v>85</v>
          </cell>
        </row>
        <row r="416">
          <cell r="D416" t="str">
            <v>Magnet Pen</v>
          </cell>
          <cell r="Q416">
            <v>2</v>
          </cell>
        </row>
        <row r="417">
          <cell r="D417" t="str">
            <v>Marker Paper (Intake)-64"</v>
          </cell>
          <cell r="Q417">
            <v>1439.1</v>
          </cell>
        </row>
        <row r="418">
          <cell r="D418" t="str">
            <v>Marker Paper (Intake)-72"</v>
          </cell>
          <cell r="Q418">
            <v>92.4</v>
          </cell>
        </row>
        <row r="419">
          <cell r="D419" t="str">
            <v>Marker Paper (Loose)-64"</v>
          </cell>
          <cell r="Q419">
            <v>624</v>
          </cell>
        </row>
        <row r="420">
          <cell r="D420" t="str">
            <v>Marker Pen-Permanent</v>
          </cell>
          <cell r="Q420">
            <v>42</v>
          </cell>
        </row>
        <row r="421">
          <cell r="D421" t="str">
            <v>Masking Tape-01"</v>
          </cell>
          <cell r="Q421">
            <v>88</v>
          </cell>
        </row>
        <row r="422">
          <cell r="D422" t="str">
            <v>Masking Tape-02"</v>
          </cell>
          <cell r="Q422">
            <v>110</v>
          </cell>
        </row>
        <row r="423">
          <cell r="D423" t="str">
            <v>Measurement Tape-Box</v>
          </cell>
          <cell r="Q423">
            <v>2</v>
          </cell>
        </row>
        <row r="424">
          <cell r="D424" t="str">
            <v>Measurement Tape-Lace</v>
          </cell>
          <cell r="Q424">
            <v>94</v>
          </cell>
        </row>
        <row r="425">
          <cell r="D425" t="str">
            <v>Metal Chiruni</v>
          </cell>
          <cell r="Q425">
            <v>5</v>
          </cell>
        </row>
        <row r="426">
          <cell r="D426" t="str">
            <v>Millat Powder</v>
          </cell>
          <cell r="Q426">
            <v>37</v>
          </cell>
        </row>
        <row r="427">
          <cell r="D427" t="str">
            <v>Mini Foggar Machine</v>
          </cell>
          <cell r="Q427">
            <v>1</v>
          </cell>
        </row>
        <row r="428">
          <cell r="D428" t="str">
            <v xml:space="preserve">NC Thinner  </v>
          </cell>
          <cell r="Q428">
            <v>0</v>
          </cell>
        </row>
        <row r="429">
          <cell r="D429" t="str">
            <v>Needle Pot</v>
          </cell>
          <cell r="Q429">
            <v>67</v>
          </cell>
        </row>
        <row r="430">
          <cell r="D430" t="str">
            <v>Nepper</v>
          </cell>
          <cell r="Q430">
            <v>5</v>
          </cell>
        </row>
        <row r="431">
          <cell r="D431" t="str">
            <v>Non Woven Fuse Interlining</v>
          </cell>
          <cell r="Q431">
            <v>2</v>
          </cell>
        </row>
        <row r="432">
          <cell r="D432" t="str">
            <v>Numbering Cutting Tuly</v>
          </cell>
          <cell r="Q432">
            <v>46</v>
          </cell>
        </row>
        <row r="433">
          <cell r="D433" t="str">
            <v>O-Emery Paper</v>
          </cell>
          <cell r="Q433">
            <v>136</v>
          </cell>
        </row>
        <row r="434">
          <cell r="D434" t="str">
            <v>Paint Brush -1"</v>
          </cell>
          <cell r="Q434">
            <v>0</v>
          </cell>
        </row>
        <row r="435">
          <cell r="D435" t="str">
            <v>Paint Color</v>
          </cell>
          <cell r="Q435">
            <v>0</v>
          </cell>
        </row>
        <row r="436">
          <cell r="D436" t="str">
            <v>Paint For Thinner</v>
          </cell>
          <cell r="Q436">
            <v>0</v>
          </cell>
        </row>
        <row r="437">
          <cell r="D437" t="str">
            <v>Paper Punch Hole machine</v>
          </cell>
          <cell r="Q437">
            <v>0</v>
          </cell>
        </row>
        <row r="438">
          <cell r="D438" t="str">
            <v>Paper Tube (60"x40mmx2mm)</v>
          </cell>
          <cell r="Q438">
            <v>800</v>
          </cell>
        </row>
        <row r="439">
          <cell r="D439" t="str">
            <v>Pattern Cutting Knife</v>
          </cell>
          <cell r="Q439">
            <v>5</v>
          </cell>
        </row>
        <row r="440">
          <cell r="D440" t="str">
            <v>Pattran Hole Punch Machine</v>
          </cell>
          <cell r="Q440">
            <v>2</v>
          </cell>
        </row>
        <row r="441">
          <cell r="D441" t="str">
            <v>Plastic Container- 1400ml</v>
          </cell>
          <cell r="Q441">
            <v>0</v>
          </cell>
        </row>
        <row r="442">
          <cell r="D442" t="str">
            <v>Plastic Container -3000ml</v>
          </cell>
          <cell r="Q442">
            <v>0</v>
          </cell>
        </row>
        <row r="443">
          <cell r="D443" t="str">
            <v>Plastic Hanger</v>
          </cell>
          <cell r="Q443">
            <v>0</v>
          </cell>
        </row>
        <row r="444">
          <cell r="D444" t="str">
            <v>Plastic Jems Clip</v>
          </cell>
          <cell r="Q444">
            <v>0</v>
          </cell>
        </row>
        <row r="445">
          <cell r="D445" t="str">
            <v>Plastic Packing Belt</v>
          </cell>
          <cell r="Q445">
            <v>500</v>
          </cell>
        </row>
        <row r="446">
          <cell r="D446" t="str">
            <v>Plastic Pata Lock</v>
          </cell>
          <cell r="Q446">
            <v>0</v>
          </cell>
        </row>
        <row r="447">
          <cell r="D447" t="str">
            <v>Plastic Scissors</v>
          </cell>
          <cell r="Q447">
            <v>2</v>
          </cell>
        </row>
        <row r="448">
          <cell r="D448" t="str">
            <v>Plastic Small Pot</v>
          </cell>
          <cell r="Q448">
            <v>0</v>
          </cell>
        </row>
        <row r="449">
          <cell r="D449" t="str">
            <v>Plastic Tape</v>
          </cell>
          <cell r="Q449">
            <v>0</v>
          </cell>
        </row>
        <row r="450">
          <cell r="D450" t="str">
            <v>Plastric File Trey</v>
          </cell>
          <cell r="Q450">
            <v>0</v>
          </cell>
        </row>
        <row r="451">
          <cell r="D451" t="str">
            <v>Poly-16x20 cm</v>
          </cell>
          <cell r="Q451">
            <v>17.049999999999997</v>
          </cell>
        </row>
        <row r="452">
          <cell r="D452" t="str">
            <v>Poly-16x25 cm</v>
          </cell>
          <cell r="Q452">
            <v>0</v>
          </cell>
        </row>
        <row r="453">
          <cell r="D453" t="str">
            <v>Poly-18 x 26 cm</v>
          </cell>
          <cell r="Q453">
            <v>0</v>
          </cell>
        </row>
        <row r="454">
          <cell r="D454" t="str">
            <v>Poly-18x14 cm</v>
          </cell>
          <cell r="Q454">
            <v>10</v>
          </cell>
        </row>
        <row r="455">
          <cell r="D455" t="str">
            <v>Poly-20 x 26 cm</v>
          </cell>
          <cell r="Q455">
            <v>10</v>
          </cell>
        </row>
        <row r="456">
          <cell r="D456" t="str">
            <v>Poly-20 x 36"</v>
          </cell>
          <cell r="Q456">
            <v>0</v>
          </cell>
        </row>
        <row r="457">
          <cell r="D457" t="str">
            <v>Poly-26x36"</v>
          </cell>
          <cell r="Q457">
            <v>0</v>
          </cell>
        </row>
        <row r="458">
          <cell r="D458" t="str">
            <v>Poly-26x37 cm</v>
          </cell>
          <cell r="Q458">
            <v>0</v>
          </cell>
        </row>
        <row r="459">
          <cell r="D459" t="str">
            <v>Poly-26x42"</v>
          </cell>
          <cell r="Q459">
            <v>0</v>
          </cell>
        </row>
        <row r="460">
          <cell r="D460" t="str">
            <v>Poly-30 x 40 cm</v>
          </cell>
          <cell r="Q460">
            <v>0</v>
          </cell>
        </row>
        <row r="461">
          <cell r="D461" t="str">
            <v>Poly-32 x 22 cm</v>
          </cell>
          <cell r="Q461">
            <v>0</v>
          </cell>
        </row>
        <row r="462">
          <cell r="D462" t="str">
            <v>Poly-50 x 70 cm</v>
          </cell>
          <cell r="Q462">
            <v>0</v>
          </cell>
        </row>
        <row r="463">
          <cell r="D463" t="str">
            <v>Polyethene 90"</v>
          </cell>
          <cell r="Q463">
            <v>0.20000000000000284</v>
          </cell>
        </row>
        <row r="464">
          <cell r="D464" t="str">
            <v>PP Poly</v>
          </cell>
          <cell r="Q464">
            <v>0</v>
          </cell>
        </row>
        <row r="465">
          <cell r="D465" t="str">
            <v>PVC Paint -Black</v>
          </cell>
          <cell r="Q465">
            <v>0</v>
          </cell>
        </row>
        <row r="466">
          <cell r="D466" t="str">
            <v>PVC Paint -Blue</v>
          </cell>
          <cell r="Q466">
            <v>0</v>
          </cell>
        </row>
        <row r="467">
          <cell r="D467" t="str">
            <v>PVC Paint -Golden Yellow</v>
          </cell>
          <cell r="Q467">
            <v>0</v>
          </cell>
        </row>
        <row r="468">
          <cell r="D468" t="str">
            <v>PVC Paint -Green</v>
          </cell>
          <cell r="Q468">
            <v>0</v>
          </cell>
        </row>
        <row r="469">
          <cell r="D469" t="str">
            <v>PVC Paint -Horizon Blue</v>
          </cell>
          <cell r="Q469">
            <v>0</v>
          </cell>
        </row>
        <row r="470">
          <cell r="D470" t="str">
            <v>PVC Paint -Lemon</v>
          </cell>
          <cell r="Q470">
            <v>0</v>
          </cell>
        </row>
        <row r="471">
          <cell r="D471" t="str">
            <v>PVC Paint -Pense Black</v>
          </cell>
          <cell r="Q471">
            <v>0</v>
          </cell>
        </row>
        <row r="472">
          <cell r="D472" t="str">
            <v>PVC Paint -Red</v>
          </cell>
          <cell r="Q472">
            <v>0</v>
          </cell>
        </row>
        <row r="473">
          <cell r="D473" t="str">
            <v>PVC Paint -Tulip Red</v>
          </cell>
          <cell r="Q473">
            <v>0</v>
          </cell>
        </row>
        <row r="474">
          <cell r="D474" t="str">
            <v>PVC Paint -Uro-Merron</v>
          </cell>
          <cell r="Q474">
            <v>0</v>
          </cell>
        </row>
        <row r="475">
          <cell r="D475" t="str">
            <v>PVC Paint -Violet</v>
          </cell>
          <cell r="Q475">
            <v>0</v>
          </cell>
        </row>
        <row r="476">
          <cell r="D476" t="str">
            <v>PVC Paint -Vivid Green</v>
          </cell>
          <cell r="Q476">
            <v>0</v>
          </cell>
        </row>
        <row r="477">
          <cell r="D477" t="str">
            <v>PVC Paint -White</v>
          </cell>
          <cell r="Q477">
            <v>0</v>
          </cell>
        </row>
        <row r="478">
          <cell r="D478" t="str">
            <v>Pvc Sheet (6'X3')-0.5mm</v>
          </cell>
          <cell r="Q478">
            <v>48</v>
          </cell>
        </row>
        <row r="479">
          <cell r="D479" t="str">
            <v>Pvc Sheet (6'X3')-01mm</v>
          </cell>
          <cell r="Q479">
            <v>51</v>
          </cell>
        </row>
        <row r="480">
          <cell r="D480" t="str">
            <v>Pvc Sheet (6'x3')-02mm</v>
          </cell>
          <cell r="Q480">
            <v>0</v>
          </cell>
        </row>
        <row r="481">
          <cell r="D481" t="str">
            <v>Pvc Sheet (6'X3')-03mm</v>
          </cell>
          <cell r="Q481">
            <v>1</v>
          </cell>
        </row>
        <row r="482">
          <cell r="D482" t="str">
            <v>Pvc Sheet (6'X3')-1.5mm</v>
          </cell>
          <cell r="Q482">
            <v>200</v>
          </cell>
        </row>
        <row r="483">
          <cell r="D483" t="str">
            <v>Pvc Sheet (6'X4')-02mm</v>
          </cell>
          <cell r="Q483">
            <v>173</v>
          </cell>
        </row>
        <row r="484">
          <cell r="D484" t="str">
            <v>Pvc Sheet (8'X4')-02mm</v>
          </cell>
          <cell r="Q484">
            <v>101</v>
          </cell>
        </row>
        <row r="485">
          <cell r="D485" t="str">
            <v>QC Failed Stiker Printed</v>
          </cell>
          <cell r="Q485">
            <v>48</v>
          </cell>
        </row>
        <row r="486">
          <cell r="D486" t="str">
            <v>QC Hold Sticker Printed</v>
          </cell>
          <cell r="Q486">
            <v>15</v>
          </cell>
        </row>
        <row r="487">
          <cell r="D487" t="str">
            <v>QC Pass Sticker</v>
          </cell>
          <cell r="Q487">
            <v>577</v>
          </cell>
        </row>
        <row r="488">
          <cell r="D488" t="str">
            <v>QC Pass Sticker Printed</v>
          </cell>
          <cell r="Q488">
            <v>36</v>
          </cell>
        </row>
        <row r="489">
          <cell r="D489" t="str">
            <v>Rechargable Battery -6V</v>
          </cell>
          <cell r="Q489">
            <v>4</v>
          </cell>
        </row>
        <row r="490">
          <cell r="D490" t="str">
            <v>Rexine Tape-02"</v>
          </cell>
          <cell r="Q490">
            <v>415</v>
          </cell>
        </row>
        <row r="491">
          <cell r="D491" t="str">
            <v xml:space="preserve">Round Sticker </v>
          </cell>
          <cell r="Q491">
            <v>3800</v>
          </cell>
        </row>
        <row r="492">
          <cell r="D492" t="str">
            <v>Rubban Tin</v>
          </cell>
          <cell r="Q492">
            <v>41</v>
          </cell>
        </row>
        <row r="493">
          <cell r="D493" t="str">
            <v>Rubber Band</v>
          </cell>
          <cell r="Q493">
            <v>0</v>
          </cell>
        </row>
        <row r="494">
          <cell r="D494" t="str">
            <v>Sandpaper Tape</v>
          </cell>
          <cell r="Q494">
            <v>985</v>
          </cell>
        </row>
        <row r="495">
          <cell r="D495" t="str">
            <v>Scissors Pitol-10"</v>
          </cell>
          <cell r="Q495">
            <v>0</v>
          </cell>
        </row>
        <row r="496">
          <cell r="D496" t="str">
            <v>Scissors QX-10"</v>
          </cell>
          <cell r="Q496">
            <v>10</v>
          </cell>
        </row>
        <row r="497">
          <cell r="D497" t="str">
            <v>Sign Pen-Blue</v>
          </cell>
          <cell r="Q497">
            <v>12</v>
          </cell>
        </row>
        <row r="498">
          <cell r="D498" t="str">
            <v>Sign Pen-Red</v>
          </cell>
          <cell r="Q498">
            <v>12</v>
          </cell>
        </row>
        <row r="499">
          <cell r="D499" t="str">
            <v>Single Jersy Fabrics</v>
          </cell>
          <cell r="Q499">
            <v>47.5</v>
          </cell>
        </row>
        <row r="500">
          <cell r="D500" t="str">
            <v>Sipa SP110 Paint Marker</v>
          </cell>
          <cell r="Q500">
            <v>1</v>
          </cell>
        </row>
        <row r="501">
          <cell r="D501" t="str">
            <v>Soap Chalk</v>
          </cell>
          <cell r="Q501">
            <v>143</v>
          </cell>
        </row>
        <row r="502">
          <cell r="D502" t="str">
            <v>Staple Tag Gun Machine Needle</v>
          </cell>
          <cell r="Q502">
            <v>9</v>
          </cell>
        </row>
        <row r="503">
          <cell r="D503" t="str">
            <v>Swatch Board-01 Part</v>
          </cell>
          <cell r="Q503">
            <v>0</v>
          </cell>
        </row>
        <row r="504">
          <cell r="D504" t="str">
            <v>Synthetic Resin Adhesive</v>
          </cell>
          <cell r="Q504">
            <v>15</v>
          </cell>
        </row>
        <row r="505">
          <cell r="D505" t="str">
            <v>Tag Cutter Pin</v>
          </cell>
          <cell r="Q505">
            <v>0</v>
          </cell>
        </row>
        <row r="506">
          <cell r="D506" t="str">
            <v>Tailors Chalk</v>
          </cell>
          <cell r="Q506">
            <v>74</v>
          </cell>
        </row>
        <row r="507">
          <cell r="D507" t="str">
            <v>Tape Dispenser</v>
          </cell>
          <cell r="Q507">
            <v>4</v>
          </cell>
        </row>
        <row r="508">
          <cell r="D508" t="str">
            <v>Taplon Paper Yellow</v>
          </cell>
          <cell r="Q508">
            <v>32</v>
          </cell>
        </row>
        <row r="509">
          <cell r="D509" t="str">
            <v>Template Cutter Machine Knife-4.3mm</v>
          </cell>
          <cell r="Q509">
            <v>6</v>
          </cell>
        </row>
        <row r="510">
          <cell r="D510" t="str">
            <v>Template Cutter Machine Leather</v>
          </cell>
          <cell r="Q510">
            <v>2</v>
          </cell>
        </row>
        <row r="511">
          <cell r="D511" t="str">
            <v>Tex Marker 60ml-Yellow</v>
          </cell>
          <cell r="Q511">
            <v>9</v>
          </cell>
        </row>
        <row r="512">
          <cell r="D512" t="str">
            <v>Thinner Gun Machine</v>
          </cell>
          <cell r="Q512">
            <v>0</v>
          </cell>
        </row>
        <row r="513">
          <cell r="D513" t="str">
            <v>Thread Cutter</v>
          </cell>
          <cell r="Q513">
            <v>19</v>
          </cell>
        </row>
        <row r="514">
          <cell r="D514" t="str">
            <v>Trim Card-02 Part</v>
          </cell>
          <cell r="Q514">
            <v>1450</v>
          </cell>
        </row>
        <row r="515">
          <cell r="D515" t="str">
            <v xml:space="preserve">Tully Brush </v>
          </cell>
          <cell r="Q515">
            <v>0</v>
          </cell>
        </row>
        <row r="516">
          <cell r="D516" t="str">
            <v>Virgin Paper-48"</v>
          </cell>
          <cell r="Q516">
            <v>1145.2</v>
          </cell>
        </row>
        <row r="517">
          <cell r="D517" t="str">
            <v>Weight Scale (0gm to 600gm)</v>
          </cell>
          <cell r="Q517">
            <v>0</v>
          </cell>
        </row>
        <row r="518">
          <cell r="D518" t="str">
            <v>White Board Marker</v>
          </cell>
          <cell r="Q518">
            <v>62</v>
          </cell>
        </row>
        <row r="519">
          <cell r="D519" t="str">
            <v>White Sunglass</v>
          </cell>
          <cell r="Q519">
            <v>0</v>
          </cell>
        </row>
        <row r="520">
          <cell r="D520" t="str">
            <v>Wood Pencil-2B</v>
          </cell>
          <cell r="Q520">
            <v>0</v>
          </cell>
        </row>
        <row r="521">
          <cell r="D521" t="str">
            <v>Wood Pencil-2H</v>
          </cell>
          <cell r="Q521">
            <v>7</v>
          </cell>
        </row>
        <row r="522">
          <cell r="D522" t="str">
            <v>Wood Pencil-HB</v>
          </cell>
          <cell r="Q522">
            <v>1</v>
          </cell>
        </row>
        <row r="523">
          <cell r="D523" t="str">
            <v>Zigzag Scissor</v>
          </cell>
          <cell r="Q523">
            <v>2</v>
          </cell>
        </row>
        <row r="524">
          <cell r="D524" t="str">
            <v>Zimlat/Vromor</v>
          </cell>
          <cell r="Q524">
            <v>7</v>
          </cell>
        </row>
        <row r="525">
          <cell r="D525" t="str">
            <v>Zip Poly -3x2</v>
          </cell>
          <cell r="Q525">
            <v>54</v>
          </cell>
        </row>
        <row r="526">
          <cell r="D526" t="str">
            <v>Zip Poly-6x4</v>
          </cell>
          <cell r="Q526">
            <v>9</v>
          </cell>
        </row>
        <row r="527">
          <cell r="D527" t="str">
            <v>Zip Poly-6x9</v>
          </cell>
          <cell r="Q527">
            <v>9</v>
          </cell>
        </row>
        <row r="528">
          <cell r="D528" t="str">
            <v>Angel Stop Cork</v>
          </cell>
          <cell r="Q528">
            <v>0</v>
          </cell>
        </row>
        <row r="529">
          <cell r="D529" t="str">
            <v>Basin Magic Pipe-1.1/2</v>
          </cell>
          <cell r="Q529">
            <v>0</v>
          </cell>
        </row>
        <row r="530">
          <cell r="D530" t="str">
            <v>Basin West</v>
          </cell>
          <cell r="Q530">
            <v>0</v>
          </cell>
        </row>
        <row r="531">
          <cell r="D531" t="str">
            <v>Bleaching Powder</v>
          </cell>
          <cell r="Q531">
            <v>7</v>
          </cell>
        </row>
        <row r="532">
          <cell r="D532" t="str">
            <v>Broom Coconut Stick</v>
          </cell>
          <cell r="Q532">
            <v>0</v>
          </cell>
        </row>
        <row r="533">
          <cell r="D533" t="str">
            <v>Broom Flower</v>
          </cell>
          <cell r="Q533">
            <v>0</v>
          </cell>
        </row>
        <row r="534">
          <cell r="D534" t="str">
            <v>Broom Hanging</v>
          </cell>
          <cell r="Q534">
            <v>22</v>
          </cell>
        </row>
        <row r="535">
          <cell r="D535" t="str">
            <v>Connection Pipe</v>
          </cell>
          <cell r="Q535">
            <v>0</v>
          </cell>
        </row>
        <row r="536">
          <cell r="D536" t="str">
            <v>Connection Pipe-24"</v>
          </cell>
          <cell r="Q536">
            <v>8</v>
          </cell>
        </row>
        <row r="537">
          <cell r="D537" t="str">
            <v>Connection Pipe-28"</v>
          </cell>
          <cell r="Q537">
            <v>9</v>
          </cell>
        </row>
        <row r="538">
          <cell r="D538" t="str">
            <v>Connection Pipe-36"</v>
          </cell>
          <cell r="Q538">
            <v>3</v>
          </cell>
        </row>
        <row r="539">
          <cell r="D539" t="str">
            <v>Connection Pipe-48"</v>
          </cell>
          <cell r="Q539">
            <v>7</v>
          </cell>
        </row>
        <row r="540">
          <cell r="D540" t="str">
            <v>Cosco Soap-Mini</v>
          </cell>
          <cell r="Q540">
            <v>302</v>
          </cell>
        </row>
        <row r="541">
          <cell r="D541" t="str">
            <v>Dettol Soap</v>
          </cell>
          <cell r="Q541">
            <v>3</v>
          </cell>
        </row>
        <row r="542">
          <cell r="D542" t="str">
            <v>Elegant Floor Mop</v>
          </cell>
          <cell r="Q542">
            <v>5</v>
          </cell>
        </row>
        <row r="543">
          <cell r="D543" t="str">
            <v>Expart Dishwash Bar</v>
          </cell>
          <cell r="Q543">
            <v>0</v>
          </cell>
        </row>
        <row r="544">
          <cell r="D544" t="str">
            <v>Facial Tissue</v>
          </cell>
          <cell r="Q544">
            <v>5</v>
          </cell>
        </row>
        <row r="545">
          <cell r="D545" t="str">
            <v>Finex Floor Cleaner-900ml</v>
          </cell>
          <cell r="Q545">
            <v>0</v>
          </cell>
        </row>
        <row r="546">
          <cell r="D546" t="str">
            <v>Floor Cleaner wiper</v>
          </cell>
          <cell r="Q546">
            <v>0</v>
          </cell>
        </row>
        <row r="547">
          <cell r="D547" t="str">
            <v>Garbage Polybag</v>
          </cell>
          <cell r="Q547">
            <v>0</v>
          </cell>
        </row>
        <row r="548">
          <cell r="D548" t="str">
            <v>Glass Cleaner wiper</v>
          </cell>
          <cell r="Q548">
            <v>0</v>
          </cell>
        </row>
        <row r="549">
          <cell r="D549" t="str">
            <v>Glass Cleaner-350ml</v>
          </cell>
          <cell r="Q549">
            <v>0</v>
          </cell>
        </row>
        <row r="550">
          <cell r="D550" t="str">
            <v>Gumboot for Cleaner</v>
          </cell>
          <cell r="Q550">
            <v>6</v>
          </cell>
        </row>
        <row r="551">
          <cell r="D551" t="str">
            <v>Hand Towel Tissue</v>
          </cell>
          <cell r="Q551">
            <v>0</v>
          </cell>
        </row>
        <row r="552">
          <cell r="D552" t="str">
            <v>Handwash Can</v>
          </cell>
          <cell r="Q552">
            <v>0</v>
          </cell>
        </row>
        <row r="553">
          <cell r="D553" t="str">
            <v xml:space="preserve">Handwash Liquied 5ltr Jar </v>
          </cell>
          <cell r="Q553">
            <v>1</v>
          </cell>
        </row>
        <row r="554">
          <cell r="D554" t="str">
            <v>Harpic Liquid-750ml</v>
          </cell>
          <cell r="Q554">
            <v>18</v>
          </cell>
        </row>
        <row r="555">
          <cell r="D555" t="str">
            <v>Jet Powder-400g</v>
          </cell>
          <cell r="Q555">
            <v>13</v>
          </cell>
        </row>
        <row r="556">
          <cell r="D556" t="str">
            <v>Koren Pudding</v>
          </cell>
          <cell r="Q556">
            <v>0</v>
          </cell>
        </row>
        <row r="557">
          <cell r="D557" t="str">
            <v>Lizol Floor Cleaner-1000ml</v>
          </cell>
          <cell r="Q557">
            <v>0</v>
          </cell>
        </row>
        <row r="558">
          <cell r="D558" t="str">
            <v>Magic Brush</v>
          </cell>
          <cell r="Q558">
            <v>0</v>
          </cell>
        </row>
        <row r="559">
          <cell r="D559" t="str">
            <v>Naphthalene</v>
          </cell>
          <cell r="Q559">
            <v>2</v>
          </cell>
        </row>
        <row r="560">
          <cell r="D560" t="str">
            <v>Napkin Tissue</v>
          </cell>
          <cell r="Q560">
            <v>33</v>
          </cell>
        </row>
        <row r="561">
          <cell r="D561" t="str">
            <v>Odonil Air Freshner</v>
          </cell>
          <cell r="Q561">
            <v>7</v>
          </cell>
        </row>
        <row r="562">
          <cell r="D562" t="str">
            <v>Paddle Bin-10 Ltr</v>
          </cell>
          <cell r="Q562">
            <v>20</v>
          </cell>
        </row>
        <row r="563">
          <cell r="D563" t="str">
            <v>Phenyle Floor Cleaner (3 Ltr Jar)</v>
          </cell>
          <cell r="Q563">
            <v>0</v>
          </cell>
        </row>
        <row r="564">
          <cell r="D564" t="str">
            <v>Pilar Cock</v>
          </cell>
          <cell r="Q564">
            <v>0</v>
          </cell>
        </row>
        <row r="565">
          <cell r="D565" t="str">
            <v>Plastic Belcha</v>
          </cell>
          <cell r="Q565">
            <v>12</v>
          </cell>
        </row>
        <row r="566">
          <cell r="D566" t="str">
            <v>Plastic Bucket-10 Liter</v>
          </cell>
          <cell r="Q566">
            <v>4</v>
          </cell>
        </row>
        <row r="567">
          <cell r="D567" t="str">
            <v>Plastic Bucket-20 Liter</v>
          </cell>
          <cell r="Q567">
            <v>0</v>
          </cell>
        </row>
        <row r="568">
          <cell r="D568" t="str">
            <v>Plastic Bucket-30 Liter</v>
          </cell>
          <cell r="Q568">
            <v>3</v>
          </cell>
        </row>
        <row r="569">
          <cell r="D569" t="str">
            <v>Plastic Mug</v>
          </cell>
          <cell r="Q569">
            <v>8</v>
          </cell>
        </row>
        <row r="570">
          <cell r="D570" t="str">
            <v>Plastic Push Shower</v>
          </cell>
          <cell r="Q570">
            <v>6</v>
          </cell>
        </row>
        <row r="571">
          <cell r="D571" t="str">
            <v xml:space="preserve">Plastic Water Tap </v>
          </cell>
          <cell r="Q571">
            <v>0</v>
          </cell>
        </row>
        <row r="572">
          <cell r="D572" t="str">
            <v>Rok Floor Cleaner-900ml</v>
          </cell>
          <cell r="Q572">
            <v>0</v>
          </cell>
        </row>
        <row r="573">
          <cell r="D573" t="str">
            <v>Rubber Hand Gloves</v>
          </cell>
          <cell r="Q573">
            <v>0</v>
          </cell>
        </row>
        <row r="574">
          <cell r="D574" t="str">
            <v>Rubber Lip Set Corrugated Oil Resistant</v>
          </cell>
          <cell r="Q574">
            <v>0</v>
          </cell>
        </row>
        <row r="575">
          <cell r="D575" t="str">
            <v>Scrubbing Brush</v>
          </cell>
          <cell r="Q575">
            <v>1</v>
          </cell>
        </row>
        <row r="576">
          <cell r="D576" t="str">
            <v>Steel Scarub</v>
          </cell>
          <cell r="Q576">
            <v>0</v>
          </cell>
        </row>
        <row r="577">
          <cell r="D577" t="str">
            <v>Steel Scourer (Majoni)</v>
          </cell>
          <cell r="Q577">
            <v>10</v>
          </cell>
        </row>
        <row r="578">
          <cell r="D578" t="str">
            <v>Tibbat Ball Soap</v>
          </cell>
          <cell r="Q578">
            <v>0</v>
          </cell>
        </row>
        <row r="579">
          <cell r="D579" t="str">
            <v>Toilet Hand Brush</v>
          </cell>
          <cell r="Q579">
            <v>12</v>
          </cell>
        </row>
        <row r="580">
          <cell r="D580" t="str">
            <v>Toilet Tissue</v>
          </cell>
          <cell r="Q580">
            <v>72</v>
          </cell>
        </row>
        <row r="581">
          <cell r="D581" t="str">
            <v>Vessles</v>
          </cell>
          <cell r="Q581">
            <v>18</v>
          </cell>
        </row>
        <row r="582">
          <cell r="D582" t="str">
            <v>Vim Dishwashing Liquid 500ml</v>
          </cell>
          <cell r="Q582">
            <v>9</v>
          </cell>
        </row>
        <row r="583">
          <cell r="D583" t="str">
            <v>Vim Powder</v>
          </cell>
          <cell r="Q583">
            <v>0</v>
          </cell>
        </row>
        <row r="584">
          <cell r="D584" t="str">
            <v>Vixol Power-1000ml</v>
          </cell>
          <cell r="Q584">
            <v>7</v>
          </cell>
        </row>
        <row r="585">
          <cell r="D585" t="str">
            <v>Washroom Magic Pipe</v>
          </cell>
          <cell r="Q585">
            <v>0</v>
          </cell>
        </row>
        <row r="586">
          <cell r="D586" t="str">
            <v>Washroom Uses Sandle</v>
          </cell>
          <cell r="Q586">
            <v>3</v>
          </cell>
        </row>
        <row r="587">
          <cell r="D587" t="str">
            <v>Wheel Detergent Powder</v>
          </cell>
          <cell r="Q587">
            <v>19</v>
          </cell>
        </row>
        <row r="588">
          <cell r="D588" t="str">
            <v xml:space="preserve"> Inj.Sergel 40</v>
          </cell>
          <cell r="Q588">
            <v>0</v>
          </cell>
        </row>
        <row r="589">
          <cell r="D589" t="str">
            <v>Accucheck Instant Blood Lancer</v>
          </cell>
          <cell r="Q589">
            <v>0</v>
          </cell>
        </row>
        <row r="590">
          <cell r="D590" t="str">
            <v>Accucheck Instant Test Strips</v>
          </cell>
          <cell r="Q590">
            <v>0</v>
          </cell>
        </row>
        <row r="591">
          <cell r="D591" t="str">
            <v>Adhesive First Aid Bandeg</v>
          </cell>
          <cell r="Q591">
            <v>0</v>
          </cell>
        </row>
        <row r="592">
          <cell r="D592" t="str">
            <v xml:space="preserve">Atary Forsef -6" </v>
          </cell>
          <cell r="Q592">
            <v>0</v>
          </cell>
        </row>
        <row r="593">
          <cell r="D593" t="str">
            <v>Blood Pressur Monitor</v>
          </cell>
          <cell r="Q593">
            <v>0</v>
          </cell>
        </row>
        <row r="594">
          <cell r="D594" t="str">
            <v>Blood Pressure Digital Monitor</v>
          </cell>
          <cell r="Q594">
            <v>0</v>
          </cell>
        </row>
        <row r="595">
          <cell r="D595" t="str">
            <v>Burnna Cream-25g</v>
          </cell>
          <cell r="Q595">
            <v>0</v>
          </cell>
        </row>
        <row r="596">
          <cell r="D596" t="str">
            <v>Clofenac Gel 20gm</v>
          </cell>
          <cell r="Q596">
            <v>0</v>
          </cell>
        </row>
        <row r="597">
          <cell r="D597" t="str">
            <v>Cotton 25gm</v>
          </cell>
          <cell r="Q597">
            <v>0</v>
          </cell>
        </row>
        <row r="598">
          <cell r="D598" t="str">
            <v>Cotton 400gm</v>
          </cell>
          <cell r="Q598">
            <v>0</v>
          </cell>
        </row>
        <row r="599">
          <cell r="D599" t="str">
            <v>Entacyd Plus</v>
          </cell>
          <cell r="Q599">
            <v>0</v>
          </cell>
        </row>
        <row r="600">
          <cell r="D600" t="str">
            <v xml:space="preserve">Famina Pad </v>
          </cell>
          <cell r="Q600">
            <v>0</v>
          </cell>
        </row>
        <row r="601">
          <cell r="D601" t="str">
            <v>Femina Pad</v>
          </cell>
          <cell r="Q601">
            <v>0</v>
          </cell>
        </row>
        <row r="602">
          <cell r="D602" t="str">
            <v>Forhead Infrared Thermometer</v>
          </cell>
          <cell r="Q602">
            <v>0</v>
          </cell>
        </row>
        <row r="603">
          <cell r="D603" t="str">
            <v>Germ Free Cotton 0.5</v>
          </cell>
          <cell r="Q603">
            <v>0</v>
          </cell>
        </row>
        <row r="604">
          <cell r="D604" t="str">
            <v>Glucometer</v>
          </cell>
          <cell r="Q604">
            <v>0</v>
          </cell>
        </row>
        <row r="605">
          <cell r="D605" t="str">
            <v>Hexisol  250 ml</v>
          </cell>
          <cell r="Q605">
            <v>0</v>
          </cell>
        </row>
        <row r="606">
          <cell r="D606" t="str">
            <v>Hexisol 50 ml</v>
          </cell>
          <cell r="Q606">
            <v>0</v>
          </cell>
        </row>
        <row r="607">
          <cell r="D607" t="str">
            <v>Hot Water Bag</v>
          </cell>
          <cell r="Q607">
            <v>0</v>
          </cell>
        </row>
        <row r="608">
          <cell r="D608" t="str">
            <v>Ice Bag AT-EX</v>
          </cell>
          <cell r="Q608">
            <v>0</v>
          </cell>
        </row>
        <row r="609">
          <cell r="D609" t="str">
            <v>Ice Cool Max</v>
          </cell>
          <cell r="Q609">
            <v>0</v>
          </cell>
        </row>
        <row r="610">
          <cell r="D610" t="str">
            <v>Ice Cool Max-80g</v>
          </cell>
          <cell r="Q610">
            <v>0</v>
          </cell>
        </row>
        <row r="611">
          <cell r="D611" t="str">
            <v xml:space="preserve">Inj. Nalbun-2 </v>
          </cell>
          <cell r="Q611">
            <v>0</v>
          </cell>
        </row>
        <row r="612">
          <cell r="D612" t="str">
            <v>Inj.Algin</v>
          </cell>
          <cell r="Q612">
            <v>0</v>
          </cell>
        </row>
        <row r="613">
          <cell r="D613" t="str">
            <v>Inj.Dexa</v>
          </cell>
          <cell r="Q613">
            <v>0</v>
          </cell>
        </row>
        <row r="614">
          <cell r="D614" t="str">
            <v>Inj.Emistat</v>
          </cell>
          <cell r="Q614">
            <v>0</v>
          </cell>
        </row>
        <row r="615">
          <cell r="D615" t="str">
            <v xml:space="preserve">Joya </v>
          </cell>
          <cell r="Q615">
            <v>0</v>
          </cell>
        </row>
        <row r="616">
          <cell r="D616" t="str">
            <v>Kidney Tray ( m )</v>
          </cell>
          <cell r="Q616">
            <v>0</v>
          </cell>
        </row>
        <row r="617">
          <cell r="D617" t="str">
            <v>Losectil Powder- 20gm</v>
          </cell>
          <cell r="Q617">
            <v>0</v>
          </cell>
        </row>
        <row r="618">
          <cell r="D618" t="str">
            <v>Losectil Powder- 40gm</v>
          </cell>
          <cell r="Q618">
            <v>0</v>
          </cell>
        </row>
        <row r="619">
          <cell r="D619" t="str">
            <v>Medical Appron</v>
          </cell>
          <cell r="Q619">
            <v>0</v>
          </cell>
        </row>
        <row r="620">
          <cell r="D620" t="str">
            <v>Medical Bed Sheet</v>
          </cell>
          <cell r="Q620">
            <v>0</v>
          </cell>
        </row>
        <row r="621">
          <cell r="D621" t="str">
            <v>Medical Pillow Cover</v>
          </cell>
          <cell r="Q621">
            <v>0</v>
          </cell>
        </row>
        <row r="622">
          <cell r="D622" t="str">
            <v>Medical Scissors -6"</v>
          </cell>
          <cell r="Q622">
            <v>0</v>
          </cell>
        </row>
        <row r="623">
          <cell r="D623" t="str">
            <v>M-Kast</v>
          </cell>
          <cell r="Q623">
            <v>0</v>
          </cell>
        </row>
        <row r="624">
          <cell r="D624" t="str">
            <v>MO2-Gas-2.0</v>
          </cell>
          <cell r="Q624">
            <v>0</v>
          </cell>
        </row>
        <row r="625">
          <cell r="D625" t="str">
            <v>Mosquito Artery Forcef-5"</v>
          </cell>
          <cell r="Q625">
            <v>0</v>
          </cell>
        </row>
        <row r="626">
          <cell r="D626" t="str">
            <v>Napa 500mg</v>
          </cell>
          <cell r="Q626">
            <v>0</v>
          </cell>
        </row>
        <row r="627">
          <cell r="D627" t="str">
            <v>Napa Extend</v>
          </cell>
          <cell r="Q627">
            <v>0</v>
          </cell>
        </row>
        <row r="628">
          <cell r="D628" t="str">
            <v>Needle Holder Foscef-5"</v>
          </cell>
          <cell r="Q628">
            <v>0</v>
          </cell>
        </row>
        <row r="629">
          <cell r="D629" t="str">
            <v>Normal Saline-1000ml</v>
          </cell>
          <cell r="Q629">
            <v>0</v>
          </cell>
        </row>
        <row r="630">
          <cell r="D630" t="str">
            <v>Omidon 10mg</v>
          </cell>
          <cell r="Q630">
            <v>0</v>
          </cell>
        </row>
        <row r="631">
          <cell r="D631" t="str">
            <v>Omron Compressor (Nebulizer Ne-C101)</v>
          </cell>
          <cell r="Q631">
            <v>0</v>
          </cell>
        </row>
        <row r="632">
          <cell r="D632" t="str">
            <v>One Time Bandge</v>
          </cell>
          <cell r="Q632">
            <v>0</v>
          </cell>
        </row>
        <row r="633">
          <cell r="D633" t="str">
            <v>Opsophenicol Eye</v>
          </cell>
          <cell r="Q633">
            <v>0</v>
          </cell>
        </row>
        <row r="634">
          <cell r="D634" t="str">
            <v>Orsalaine</v>
          </cell>
          <cell r="Q634">
            <v>0</v>
          </cell>
        </row>
        <row r="635">
          <cell r="D635" t="str">
            <v>Prolin 3/0</v>
          </cell>
          <cell r="Q635">
            <v>0</v>
          </cell>
        </row>
        <row r="636">
          <cell r="D636" t="str">
            <v>Pulse Oximeter</v>
          </cell>
          <cell r="Q636">
            <v>0</v>
          </cell>
        </row>
        <row r="637">
          <cell r="D637" t="str">
            <v>Roller Bandage-2"</v>
          </cell>
          <cell r="Q637">
            <v>0</v>
          </cell>
        </row>
        <row r="638">
          <cell r="D638" t="str">
            <v>Roller Bandage-3"</v>
          </cell>
          <cell r="Q638">
            <v>0</v>
          </cell>
        </row>
        <row r="639">
          <cell r="D639" t="str">
            <v>Roller Bandage-4"</v>
          </cell>
          <cell r="Q639">
            <v>0</v>
          </cell>
        </row>
        <row r="640">
          <cell r="D640" t="str">
            <v>Savlon Cream 30g</v>
          </cell>
          <cell r="Q640">
            <v>0</v>
          </cell>
        </row>
        <row r="641">
          <cell r="D641" t="str">
            <v>Savlon Cream 60gm</v>
          </cell>
          <cell r="Q641">
            <v>0</v>
          </cell>
        </row>
        <row r="642">
          <cell r="D642" t="str">
            <v>Scientific Scissor-6"</v>
          </cell>
          <cell r="Q642">
            <v>0</v>
          </cell>
        </row>
        <row r="643">
          <cell r="D643" t="str">
            <v>Scissors-5"</v>
          </cell>
          <cell r="Q643">
            <v>0</v>
          </cell>
        </row>
        <row r="644">
          <cell r="D644" t="str">
            <v>Senera Nakpkin</v>
          </cell>
          <cell r="Q644">
            <v>0</v>
          </cell>
        </row>
        <row r="645">
          <cell r="D645" t="str">
            <v>Sergel</v>
          </cell>
          <cell r="Q645">
            <v>0</v>
          </cell>
        </row>
        <row r="646">
          <cell r="D646" t="str">
            <v>Sofra Tulle</v>
          </cell>
          <cell r="Q646">
            <v>0</v>
          </cell>
        </row>
        <row r="647">
          <cell r="D647" t="str">
            <v>Sterilizer Machine</v>
          </cell>
          <cell r="Q647">
            <v>0</v>
          </cell>
        </row>
        <row r="648">
          <cell r="D648" t="str">
            <v>Stethoscope</v>
          </cell>
          <cell r="Q648">
            <v>0</v>
          </cell>
        </row>
        <row r="649">
          <cell r="D649" t="str">
            <v>Syringe-5cc</v>
          </cell>
          <cell r="Q649">
            <v>0</v>
          </cell>
        </row>
        <row r="650">
          <cell r="D650" t="str">
            <v>T.T.Vax</v>
          </cell>
          <cell r="Q650">
            <v>0</v>
          </cell>
        </row>
        <row r="651">
          <cell r="D651" t="str">
            <v>Tab.Atova-20mg</v>
          </cell>
          <cell r="Q651">
            <v>0</v>
          </cell>
        </row>
        <row r="652">
          <cell r="D652" t="str">
            <v>Tab.Bucof-50mg</v>
          </cell>
          <cell r="Q652">
            <v>0</v>
          </cell>
        </row>
        <row r="653">
          <cell r="D653" t="str">
            <v>Tab.Clopid -75mg</v>
          </cell>
          <cell r="Q653">
            <v>0</v>
          </cell>
        </row>
        <row r="654">
          <cell r="D654" t="str">
            <v>Tab.Deslor -5mg</v>
          </cell>
          <cell r="Q654">
            <v>0</v>
          </cell>
        </row>
        <row r="655">
          <cell r="D655" t="str">
            <v>Tab.Ecosprin-75mg</v>
          </cell>
          <cell r="Q655">
            <v>0</v>
          </cell>
        </row>
        <row r="656">
          <cell r="D656" t="str">
            <v>Tab.Fexo -120mg</v>
          </cell>
          <cell r="Q656">
            <v>0</v>
          </cell>
        </row>
        <row r="657">
          <cell r="D657" t="str">
            <v>Tab.Flexi -100mg</v>
          </cell>
          <cell r="Q657">
            <v>0</v>
          </cell>
        </row>
        <row r="658">
          <cell r="D658" t="str">
            <v>Tab.Maxpro -20mg</v>
          </cell>
          <cell r="Q658">
            <v>0</v>
          </cell>
        </row>
        <row r="659">
          <cell r="D659" t="str">
            <v>Tab-Alartol</v>
          </cell>
          <cell r="Q659">
            <v>0</v>
          </cell>
        </row>
        <row r="660">
          <cell r="D660" t="str">
            <v>Tab-Algin-50mg</v>
          </cell>
          <cell r="Q660">
            <v>0</v>
          </cell>
        </row>
        <row r="661">
          <cell r="D661" t="str">
            <v>Tab-Amodis 400mg</v>
          </cell>
          <cell r="Q661">
            <v>0</v>
          </cell>
        </row>
        <row r="662">
          <cell r="D662" t="str">
            <v>Tab-Emistat 8mg</v>
          </cell>
          <cell r="Q662">
            <v>0</v>
          </cell>
        </row>
        <row r="663">
          <cell r="D663" t="str">
            <v>Tab-Tufnil-200mg</v>
          </cell>
          <cell r="Q663">
            <v>0</v>
          </cell>
        </row>
        <row r="664">
          <cell r="D664" t="str">
            <v>Toothhed Forcef-6"</v>
          </cell>
          <cell r="Q664">
            <v>0</v>
          </cell>
        </row>
        <row r="665">
          <cell r="D665" t="str">
            <v>Tounniquet Band</v>
          </cell>
          <cell r="Q665">
            <v>0</v>
          </cell>
        </row>
        <row r="666">
          <cell r="D666" t="str">
            <v>Tuniket</v>
          </cell>
          <cell r="Q666">
            <v>0</v>
          </cell>
        </row>
        <row r="667">
          <cell r="D667" t="str">
            <v>Vaxitat Injetion</v>
          </cell>
          <cell r="Q667">
            <v>0</v>
          </cell>
        </row>
        <row r="668">
          <cell r="D668" t="str">
            <v>Viodin 10% -100ml</v>
          </cell>
          <cell r="Q668">
            <v>0</v>
          </cell>
        </row>
        <row r="669">
          <cell r="D669" t="str">
            <v>Voidine</v>
          </cell>
          <cell r="Q669">
            <v>0</v>
          </cell>
        </row>
        <row r="670">
          <cell r="D670" t="str">
            <v>Voidine Cream-25gm</v>
          </cell>
          <cell r="Q670">
            <v>0</v>
          </cell>
        </row>
        <row r="671">
          <cell r="D671" t="str">
            <v>Windel Plus Nebulizer Solution</v>
          </cell>
          <cell r="Q671">
            <v>0</v>
          </cell>
        </row>
        <row r="672">
          <cell r="D672" t="str">
            <v xml:space="preserve">Wooden Splint </v>
          </cell>
          <cell r="Q672">
            <v>0</v>
          </cell>
        </row>
        <row r="673">
          <cell r="D673" t="str">
            <v>100% Cut Panel Inspection Report</v>
          </cell>
          <cell r="Q673">
            <v>20</v>
          </cell>
        </row>
        <row r="674">
          <cell r="D674" t="str">
            <v>100% Key Point Measurement Record</v>
          </cell>
          <cell r="Q674">
            <v>34</v>
          </cell>
        </row>
        <row r="675">
          <cell r="D675" t="str">
            <v>100% Quality Inspection Report</v>
          </cell>
          <cell r="Q675">
            <v>7</v>
          </cell>
        </row>
        <row r="676">
          <cell r="D676" t="str">
            <v>1st Out Put Report</v>
          </cell>
          <cell r="Q676">
            <v>21</v>
          </cell>
        </row>
        <row r="677">
          <cell r="D677" t="str">
            <v>7.0 Inspection Report</v>
          </cell>
          <cell r="Q677">
            <v>0</v>
          </cell>
        </row>
        <row r="678">
          <cell r="D678" t="str">
            <v>Accessories Inspection Report</v>
          </cell>
          <cell r="Q678">
            <v>43</v>
          </cell>
        </row>
        <row r="679">
          <cell r="D679" t="str">
            <v xml:space="preserve">Broken/Messing Needle Report </v>
          </cell>
          <cell r="Q679">
            <v>12</v>
          </cell>
        </row>
        <row r="680">
          <cell r="D680" t="str">
            <v>Change/Broken/Missing Needle Record</v>
          </cell>
          <cell r="Q680">
            <v>1</v>
          </cell>
        </row>
        <row r="681">
          <cell r="D681" t="str">
            <v>Conveyance Bill Book</v>
          </cell>
          <cell r="Q681">
            <v>0</v>
          </cell>
        </row>
        <row r="682">
          <cell r="D682" t="str">
            <v>Cutting Issue Challan Book</v>
          </cell>
          <cell r="Q682">
            <v>233</v>
          </cell>
        </row>
        <row r="683">
          <cell r="D683" t="str">
            <v>Cutting Quality Control Report</v>
          </cell>
          <cell r="Q683">
            <v>0</v>
          </cell>
        </row>
        <row r="684">
          <cell r="D684" t="str">
            <v>Daily Fusing Machine Calibration Report</v>
          </cell>
          <cell r="Q684">
            <v>27</v>
          </cell>
        </row>
        <row r="685">
          <cell r="D685" t="str">
            <v>Daily Out Put Produt Inspection</v>
          </cell>
          <cell r="Q685">
            <v>15</v>
          </cell>
        </row>
        <row r="686">
          <cell r="D686" t="str">
            <v>Defect Repair Record</v>
          </cell>
          <cell r="Q686">
            <v>33</v>
          </cell>
        </row>
        <row r="687">
          <cell r="D687" t="str">
            <v>Defective Parts Replacement Record</v>
          </cell>
          <cell r="Q687">
            <v>27</v>
          </cell>
        </row>
        <row r="688">
          <cell r="D688" t="str">
            <v>Delivery Challan Book</v>
          </cell>
          <cell r="Q688">
            <v>10</v>
          </cell>
        </row>
        <row r="689">
          <cell r="D689" t="str">
            <v>Fabrics Inventory Report</v>
          </cell>
          <cell r="Q689">
            <v>4</v>
          </cell>
        </row>
        <row r="690">
          <cell r="D690" t="str">
            <v>Fabrics Relaxation Report</v>
          </cell>
          <cell r="Q690">
            <v>3</v>
          </cell>
        </row>
        <row r="691">
          <cell r="D691" t="str">
            <v>Female Attendance Register</v>
          </cell>
          <cell r="Q691">
            <v>0</v>
          </cell>
        </row>
        <row r="692">
          <cell r="D692" t="str">
            <v>Finished Goods Moisture Check Record</v>
          </cell>
          <cell r="Q692">
            <v>30</v>
          </cell>
        </row>
        <row r="693">
          <cell r="D693" t="str">
            <v>Fusing Machine Temperature  &amp; Bond Test Report</v>
          </cell>
          <cell r="Q693">
            <v>25</v>
          </cell>
        </row>
        <row r="694">
          <cell r="D694" t="str">
            <v>Gate Pass Book</v>
          </cell>
          <cell r="Q694">
            <v>6</v>
          </cell>
        </row>
        <row r="695">
          <cell r="D695" t="str">
            <v>GSM check Report</v>
          </cell>
          <cell r="Q695">
            <v>0</v>
          </cell>
        </row>
        <row r="696">
          <cell r="D696" t="str">
            <v>Hourly Audit Report</v>
          </cell>
          <cell r="Q696">
            <v>2</v>
          </cell>
        </row>
        <row r="697">
          <cell r="D697" t="str">
            <v>Hourly Down Panel Weight Check Report</v>
          </cell>
          <cell r="Q697">
            <v>20</v>
          </cell>
        </row>
        <row r="698">
          <cell r="D698" t="str">
            <v>Hourly Production Report</v>
          </cell>
          <cell r="Q698">
            <v>11</v>
          </cell>
        </row>
        <row r="699">
          <cell r="D699" t="str">
            <v>Indent Book</v>
          </cell>
          <cell r="Q699">
            <v>27</v>
          </cell>
        </row>
        <row r="700">
          <cell r="D700" t="str">
            <v>Lay Report Book</v>
          </cell>
          <cell r="Q700">
            <v>0</v>
          </cell>
        </row>
        <row r="701">
          <cell r="D701" t="str">
            <v>Leave Application Form</v>
          </cell>
          <cell r="Q701">
            <v>0</v>
          </cell>
        </row>
        <row r="702">
          <cell r="D702" t="str">
            <v>Log Sheet for Cutting</v>
          </cell>
          <cell r="Q702">
            <v>6</v>
          </cell>
        </row>
        <row r="703">
          <cell r="D703" t="str">
            <v>Log Sheet for Sewing</v>
          </cell>
          <cell r="Q703">
            <v>13</v>
          </cell>
        </row>
        <row r="704">
          <cell r="D704" t="str">
            <v>Lunch/Carrying Bill Book</v>
          </cell>
          <cell r="Q704">
            <v>0</v>
          </cell>
        </row>
        <row r="705">
          <cell r="D705" t="str">
            <v>Machine Oil Check Report</v>
          </cell>
          <cell r="Q705">
            <v>10</v>
          </cell>
        </row>
        <row r="706">
          <cell r="D706" t="str">
            <v>Marker Check Report</v>
          </cell>
          <cell r="Q706">
            <v>0</v>
          </cell>
        </row>
        <row r="707">
          <cell r="D707" t="str">
            <v>Marker Requisition Sheet</v>
          </cell>
          <cell r="Q707">
            <v>70</v>
          </cell>
        </row>
        <row r="708">
          <cell r="D708" t="str">
            <v>Packing Accuracy Audit Report</v>
          </cell>
          <cell r="Q708">
            <v>39</v>
          </cell>
        </row>
        <row r="709">
          <cell r="D709" t="str">
            <v>Quality Gate Book</v>
          </cell>
          <cell r="Q709">
            <v>67</v>
          </cell>
        </row>
        <row r="710">
          <cell r="D710" t="str">
            <v>Returnable Gate Pass Book</v>
          </cell>
          <cell r="Q710">
            <v>5</v>
          </cell>
        </row>
        <row r="711">
          <cell r="D711" t="str">
            <v>Root Cause Analysis Top 3 Defect</v>
          </cell>
          <cell r="Q711">
            <v>8</v>
          </cell>
        </row>
        <row r="712">
          <cell r="D712" t="str">
            <v xml:space="preserve">Short Leave Slip </v>
          </cell>
          <cell r="Q712">
            <v>0</v>
          </cell>
        </row>
        <row r="713">
          <cell r="D713" t="str">
            <v>SKU Report</v>
          </cell>
          <cell r="Q713">
            <v>30</v>
          </cell>
        </row>
        <row r="714">
          <cell r="D714" t="str">
            <v>Spreding Control Lay Check Report</v>
          </cell>
          <cell r="Q714">
            <v>0</v>
          </cell>
        </row>
        <row r="715">
          <cell r="D715" t="str">
            <v>Standard Operational Instruction (QCP)</v>
          </cell>
          <cell r="Q715">
            <v>1</v>
          </cell>
        </row>
        <row r="716">
          <cell r="D716" t="str">
            <v>Standard Operational Instruction (WSC)</v>
          </cell>
          <cell r="Q716">
            <v>1</v>
          </cell>
        </row>
        <row r="717">
          <cell r="D717" t="str">
            <v>Style Closing Report</v>
          </cell>
          <cell r="Q717">
            <v>12</v>
          </cell>
        </row>
        <row r="718">
          <cell r="D718" t="str">
            <v>Styling Check Report</v>
          </cell>
          <cell r="Q718">
            <v>33</v>
          </cell>
        </row>
        <row r="719">
          <cell r="D719" t="str">
            <v>Trims Check Record</v>
          </cell>
          <cell r="Q719">
            <v>0</v>
          </cell>
        </row>
        <row r="720">
          <cell r="D720" t="str">
            <v>Vat Challan Book 6.3</v>
          </cell>
          <cell r="Q720">
            <v>12</v>
          </cell>
        </row>
        <row r="721">
          <cell r="D721" t="str">
            <v>K/S Roller Bearing</v>
          </cell>
          <cell r="Q721">
            <v>10</v>
          </cell>
        </row>
        <row r="722">
          <cell r="D722" t="str">
            <v>P/M Metal Gathering Guide</v>
          </cell>
          <cell r="Q722">
            <v>1</v>
          </cell>
        </row>
        <row r="723">
          <cell r="D723" t="str">
            <v>P/M Metal Guide 1/16 CL</v>
          </cell>
          <cell r="Q723">
            <v>44</v>
          </cell>
        </row>
        <row r="724">
          <cell r="D724" t="str">
            <v>P/M Metal Guide 1/16 CR</v>
          </cell>
          <cell r="Q724">
            <v>56</v>
          </cell>
        </row>
        <row r="725">
          <cell r="D725" t="str">
            <v>P/M Metal Guide 1/4 CL</v>
          </cell>
          <cell r="Q725">
            <v>48</v>
          </cell>
        </row>
        <row r="726">
          <cell r="D726" t="str">
            <v>P/M Metal Guide 1/4 CR</v>
          </cell>
          <cell r="Q726">
            <v>60</v>
          </cell>
        </row>
        <row r="727">
          <cell r="D727" t="str">
            <v>P/M Metal Guide 1/8 CL</v>
          </cell>
          <cell r="Q727">
            <v>36</v>
          </cell>
        </row>
        <row r="728">
          <cell r="D728" t="str">
            <v>P/M Metal Guide 1/8 CR</v>
          </cell>
          <cell r="Q728">
            <v>86</v>
          </cell>
        </row>
        <row r="729">
          <cell r="D729" t="str">
            <v>P/M Metal Hidden Zipper Guide</v>
          </cell>
          <cell r="Q729">
            <v>7</v>
          </cell>
        </row>
        <row r="730">
          <cell r="D730" t="str">
            <v>P/M Metal Piping Guide 1/8-CL</v>
          </cell>
          <cell r="Q730">
            <v>38</v>
          </cell>
        </row>
        <row r="731">
          <cell r="D731" t="str">
            <v>P/M Metal Piping Guide 1/8-CR</v>
          </cell>
          <cell r="Q731">
            <v>41</v>
          </cell>
        </row>
        <row r="732">
          <cell r="D732" t="str">
            <v>P/M Metal Plain Feet</v>
          </cell>
          <cell r="Q732">
            <v>76</v>
          </cell>
        </row>
        <row r="733">
          <cell r="D733" t="str">
            <v>P/M Metal Roller Guide</v>
          </cell>
          <cell r="Q733">
            <v>71</v>
          </cell>
        </row>
        <row r="734">
          <cell r="D734" t="str">
            <v>P/M Metal Sharing Guide</v>
          </cell>
          <cell r="Q734">
            <v>18</v>
          </cell>
        </row>
        <row r="735">
          <cell r="D735" t="str">
            <v>P/M Metal Zipper Guide-Both</v>
          </cell>
          <cell r="Q735">
            <v>51</v>
          </cell>
        </row>
        <row r="736">
          <cell r="D736" t="str">
            <v>P/M Metal Zipper Guide-L</v>
          </cell>
          <cell r="Q736">
            <v>53</v>
          </cell>
        </row>
        <row r="737">
          <cell r="D737" t="str">
            <v>P/M Metal Zipper Guide-R</v>
          </cell>
          <cell r="Q737">
            <v>61</v>
          </cell>
        </row>
        <row r="738">
          <cell r="D738" t="str">
            <v>P/M Plastic Guide 1/16 CL</v>
          </cell>
          <cell r="Q738">
            <v>175</v>
          </cell>
        </row>
        <row r="739">
          <cell r="D739" t="str">
            <v>P/M Plastic Guide 1/16 CR</v>
          </cell>
          <cell r="Q739">
            <v>40</v>
          </cell>
        </row>
        <row r="740">
          <cell r="D740" t="str">
            <v>P/M Plastic Plain Feet</v>
          </cell>
          <cell r="Q740">
            <v>296</v>
          </cell>
        </row>
        <row r="741">
          <cell r="D741" t="str">
            <v>P/M Plastic Ring Guide</v>
          </cell>
          <cell r="Q741">
            <v>28</v>
          </cell>
        </row>
        <row r="742">
          <cell r="D742" t="str">
            <v>P/M Plastic Roller Guide</v>
          </cell>
          <cell r="Q742">
            <v>68</v>
          </cell>
        </row>
        <row r="743">
          <cell r="D743" t="str">
            <v>P/M Plastic Roller Piping Guide-CL</v>
          </cell>
          <cell r="Q743">
            <v>46</v>
          </cell>
        </row>
        <row r="744">
          <cell r="D744" t="str">
            <v>P/M Plastic Zipper Guide-Both</v>
          </cell>
          <cell r="Q744">
            <v>119</v>
          </cell>
        </row>
        <row r="745">
          <cell r="D745" t="str">
            <v>P/M Plastic Zipper Guide-L</v>
          </cell>
          <cell r="Q745">
            <v>300</v>
          </cell>
        </row>
        <row r="746">
          <cell r="D746" t="str">
            <v>P/M Plastic Zipper Guide-R</v>
          </cell>
          <cell r="Q746">
            <v>258</v>
          </cell>
        </row>
        <row r="747">
          <cell r="D747" t="str">
            <v>P/M SP Guide 1/16 CL</v>
          </cell>
          <cell r="Q747">
            <v>0</v>
          </cell>
        </row>
        <row r="748">
          <cell r="D748" t="str">
            <v>P/M SP Guide 1/16 CR</v>
          </cell>
          <cell r="Q748">
            <v>0</v>
          </cell>
        </row>
        <row r="749">
          <cell r="D749" t="str">
            <v>P/M SP Guide 1/4 CL</v>
          </cell>
          <cell r="Q749">
            <v>40</v>
          </cell>
        </row>
        <row r="750">
          <cell r="D750" t="str">
            <v>P/M SP Guide 1/4 CR</v>
          </cell>
          <cell r="Q750">
            <v>39</v>
          </cell>
        </row>
        <row r="751">
          <cell r="D751" t="str">
            <v>P/M SP Guide 3/16 CR</v>
          </cell>
          <cell r="Q751">
            <v>0</v>
          </cell>
        </row>
        <row r="752">
          <cell r="D752" t="str">
            <v>P/M SP Guide-1/8 CL</v>
          </cell>
          <cell r="Q752">
            <v>48</v>
          </cell>
        </row>
        <row r="753">
          <cell r="D753" t="str">
            <v>P/M SP Guide-1/8 CR</v>
          </cell>
          <cell r="Q753">
            <v>44</v>
          </cell>
        </row>
        <row r="754">
          <cell r="D754" t="str">
            <v>T- Guide</v>
          </cell>
          <cell r="Q754">
            <v>9</v>
          </cell>
        </row>
        <row r="755">
          <cell r="D755" t="str">
            <v>T/N Machine Clamp Spring</v>
          </cell>
          <cell r="Q755">
            <v>5</v>
          </cell>
        </row>
        <row r="756">
          <cell r="D756" t="str">
            <v>T/N Metal Guide 1/4-CL</v>
          </cell>
          <cell r="Q756">
            <v>43</v>
          </cell>
        </row>
        <row r="757">
          <cell r="D757" t="str">
            <v>T/N Metal Guide 1/4-CR</v>
          </cell>
          <cell r="Q757">
            <v>18</v>
          </cell>
        </row>
        <row r="758">
          <cell r="D758" t="str">
            <v>T/N Metal Guide 1/8 CL</v>
          </cell>
          <cell r="Q758">
            <v>8</v>
          </cell>
        </row>
        <row r="759">
          <cell r="D759" t="str">
            <v>T/N Metal Guide 1/8-CR</v>
          </cell>
          <cell r="Q759">
            <v>6</v>
          </cell>
        </row>
        <row r="760">
          <cell r="D760" t="str">
            <v>T/N Metal Guide 3/16-CL</v>
          </cell>
          <cell r="Q760">
            <v>80</v>
          </cell>
        </row>
        <row r="761">
          <cell r="D761" t="str">
            <v>T/N Metal Guide 3/16-CR</v>
          </cell>
          <cell r="Q761">
            <v>29</v>
          </cell>
        </row>
        <row r="762">
          <cell r="D762" t="str">
            <v>T/N Metal Plain Feet-1/4</v>
          </cell>
          <cell r="Q762">
            <v>8</v>
          </cell>
        </row>
        <row r="763">
          <cell r="D763" t="str">
            <v>T/N Metal Plain Feet-1/8</v>
          </cell>
          <cell r="Q763">
            <v>20</v>
          </cell>
        </row>
        <row r="764">
          <cell r="D764" t="str">
            <v>T/N Metal Plain Feet-3/16</v>
          </cell>
          <cell r="Q764">
            <v>64</v>
          </cell>
        </row>
        <row r="765">
          <cell r="D765" t="str">
            <v>Wing/Hanger Guide</v>
          </cell>
          <cell r="Q765">
            <v>61</v>
          </cell>
        </row>
        <row r="766">
          <cell r="D766" t="str">
            <v>3 Phase Bar-63 Amp</v>
          </cell>
          <cell r="Q766">
            <v>20</v>
          </cell>
        </row>
        <row r="767">
          <cell r="D767" t="str">
            <v>AC Round Type Power 3Pin Socket</v>
          </cell>
          <cell r="Q767">
            <v>1</v>
          </cell>
        </row>
        <row r="768">
          <cell r="D768" t="str">
            <v>Advestor Rope</v>
          </cell>
          <cell r="Q768">
            <v>2</v>
          </cell>
        </row>
        <row r="769">
          <cell r="D769" t="str">
            <v>Air Elbow- 04mm/04mm White</v>
          </cell>
          <cell r="Q769">
            <v>9</v>
          </cell>
        </row>
        <row r="770">
          <cell r="D770" t="str">
            <v>Air Gun</v>
          </cell>
          <cell r="Q770">
            <v>26</v>
          </cell>
        </row>
        <row r="771">
          <cell r="D771" t="str">
            <v>Air Join Socket- 4mm/4mm</v>
          </cell>
          <cell r="Q771">
            <v>23</v>
          </cell>
        </row>
        <row r="772">
          <cell r="D772" t="str">
            <v>Air Line Gate Valve-01"</v>
          </cell>
          <cell r="Q772">
            <v>0</v>
          </cell>
        </row>
        <row r="773">
          <cell r="D773" t="str">
            <v>Air Nipple 1/2"-08mm</v>
          </cell>
          <cell r="Q773">
            <v>99</v>
          </cell>
        </row>
        <row r="774">
          <cell r="D774" t="str">
            <v>Air Nipple 1/2"-10mm</v>
          </cell>
          <cell r="Q774">
            <v>0</v>
          </cell>
        </row>
        <row r="775">
          <cell r="D775" t="str">
            <v>Air Nipple 1/2"-12mm</v>
          </cell>
          <cell r="Q775">
            <v>8</v>
          </cell>
        </row>
        <row r="776">
          <cell r="D776" t="str">
            <v>Air Nipple 1/4"-08mm</v>
          </cell>
          <cell r="Q776">
            <v>181</v>
          </cell>
        </row>
        <row r="777">
          <cell r="D777" t="str">
            <v>Air Nipple 3/8"-08mm</v>
          </cell>
          <cell r="Q777">
            <v>0</v>
          </cell>
        </row>
        <row r="778">
          <cell r="D778" t="str">
            <v>Air Nipple 8/5mm</v>
          </cell>
          <cell r="Q778">
            <v>40</v>
          </cell>
        </row>
        <row r="779">
          <cell r="D779" t="str">
            <v>Air Nipple Regulator 1/2 -12</v>
          </cell>
          <cell r="Q779">
            <v>2</v>
          </cell>
        </row>
        <row r="780">
          <cell r="D780" t="str">
            <v>Air Nipple Regulator 4mm</v>
          </cell>
          <cell r="Q780">
            <v>20</v>
          </cell>
        </row>
        <row r="781">
          <cell r="D781" t="str">
            <v>Air Pipe-04mm</v>
          </cell>
          <cell r="Q781">
            <v>100</v>
          </cell>
        </row>
        <row r="782">
          <cell r="D782" t="str">
            <v>Air Pipe-06mm</v>
          </cell>
          <cell r="Q782">
            <v>100</v>
          </cell>
        </row>
        <row r="783">
          <cell r="D783" t="str">
            <v>Air Pipe-08mm</v>
          </cell>
          <cell r="Q783">
            <v>0</v>
          </cell>
        </row>
        <row r="784">
          <cell r="D784" t="str">
            <v>Air Pipe-16mm</v>
          </cell>
          <cell r="Q784">
            <v>100</v>
          </cell>
        </row>
        <row r="785">
          <cell r="D785" t="str">
            <v>Air Regulation Socket-8/4mm</v>
          </cell>
          <cell r="Q785">
            <v>20</v>
          </cell>
        </row>
        <row r="786">
          <cell r="D786" t="str">
            <v xml:space="preserve">Air Regulator </v>
          </cell>
          <cell r="Q786">
            <v>0</v>
          </cell>
        </row>
        <row r="787">
          <cell r="D787" t="str">
            <v>Air Socket- 12/10 mm</v>
          </cell>
          <cell r="Q787">
            <v>22</v>
          </cell>
        </row>
        <row r="788">
          <cell r="D788" t="str">
            <v>Air Socket- 16/16 mm</v>
          </cell>
          <cell r="Q788">
            <v>29</v>
          </cell>
        </row>
        <row r="789">
          <cell r="D789" t="str">
            <v>Air Socket-08/06mm</v>
          </cell>
          <cell r="Q789">
            <v>14</v>
          </cell>
        </row>
        <row r="790">
          <cell r="D790" t="str">
            <v>Air Socket-08/08mm</v>
          </cell>
          <cell r="Q790">
            <v>13</v>
          </cell>
        </row>
        <row r="791">
          <cell r="D791" t="str">
            <v>Air Socket-08/10mm</v>
          </cell>
          <cell r="Q791">
            <v>16</v>
          </cell>
        </row>
        <row r="792">
          <cell r="D792" t="str">
            <v>Air Socket-08/12mm</v>
          </cell>
          <cell r="Q792">
            <v>0</v>
          </cell>
        </row>
        <row r="793">
          <cell r="D793" t="str">
            <v>Air T- 04mm/04mm/04mm White</v>
          </cell>
          <cell r="Q793">
            <v>10</v>
          </cell>
        </row>
        <row r="794">
          <cell r="D794" t="str">
            <v>Air Tee- 08/08/08 mm</v>
          </cell>
          <cell r="Q794">
            <v>16</v>
          </cell>
        </row>
        <row r="795">
          <cell r="D795" t="str">
            <v>Air Tee-10/10/08mm</v>
          </cell>
          <cell r="Q795">
            <v>12</v>
          </cell>
        </row>
        <row r="796">
          <cell r="D796" t="str">
            <v>Air Tee-12/12/08mm</v>
          </cell>
          <cell r="Q796">
            <v>9</v>
          </cell>
        </row>
        <row r="797">
          <cell r="D797" t="str">
            <v>Air Tee-12/12/10mm</v>
          </cell>
          <cell r="Q797">
            <v>10</v>
          </cell>
        </row>
        <row r="798">
          <cell r="D798" t="str">
            <v>Air Tee-16mm</v>
          </cell>
          <cell r="Q798">
            <v>18</v>
          </cell>
        </row>
        <row r="799">
          <cell r="D799" t="str">
            <v>Air Tee-3/8-12/12mm</v>
          </cell>
          <cell r="Q799">
            <v>9</v>
          </cell>
        </row>
        <row r="800">
          <cell r="D800" t="str">
            <v>Aluminium Sheet-3.5mm</v>
          </cell>
          <cell r="Q800">
            <v>0</v>
          </cell>
        </row>
        <row r="801">
          <cell r="D801" t="str">
            <v>Analoug Multimeter</v>
          </cell>
          <cell r="Q801">
            <v>1</v>
          </cell>
        </row>
        <row r="802">
          <cell r="D802" t="str">
            <v>Araldite Gum</v>
          </cell>
          <cell r="Q802">
            <v>1</v>
          </cell>
        </row>
        <row r="803">
          <cell r="D803" t="str">
            <v>Baby Drill Bit-5/32mm</v>
          </cell>
          <cell r="Q803">
            <v>0</v>
          </cell>
        </row>
        <row r="804">
          <cell r="D804" t="str">
            <v>Balancing Machine Belt-HTD 450-5M</v>
          </cell>
          <cell r="Q804">
            <v>10</v>
          </cell>
        </row>
        <row r="805">
          <cell r="D805" t="str">
            <v>Balancing Machine Belt-HTD 570-5M</v>
          </cell>
          <cell r="Q805">
            <v>2</v>
          </cell>
        </row>
        <row r="806">
          <cell r="D806" t="str">
            <v>Balancing Machine Belt-HTD 640-5M</v>
          </cell>
          <cell r="Q806">
            <v>2</v>
          </cell>
        </row>
        <row r="807">
          <cell r="D807" t="str">
            <v>Balancing Machine Belt-HTD 690-5M</v>
          </cell>
          <cell r="Q807">
            <v>2</v>
          </cell>
        </row>
        <row r="808">
          <cell r="D808" t="str">
            <v>Ball Bearing -6204</v>
          </cell>
          <cell r="Q808">
            <v>30</v>
          </cell>
        </row>
        <row r="809">
          <cell r="D809" t="str">
            <v>Ball Valve-01"</v>
          </cell>
          <cell r="Q809">
            <v>0</v>
          </cell>
        </row>
        <row r="810">
          <cell r="D810" t="str">
            <v>Ball Valve-1.5"</v>
          </cell>
          <cell r="Q810">
            <v>1</v>
          </cell>
        </row>
        <row r="811">
          <cell r="D811" t="str">
            <v>Ball Valve-1/2"</v>
          </cell>
          <cell r="Q811">
            <v>2</v>
          </cell>
        </row>
        <row r="812">
          <cell r="D812" t="str">
            <v>Ball Valve-2"</v>
          </cell>
          <cell r="Q812">
            <v>0</v>
          </cell>
        </row>
        <row r="813">
          <cell r="D813" t="str">
            <v>Bashbar 20 x 10 x 2'</v>
          </cell>
          <cell r="Q813">
            <v>0</v>
          </cell>
        </row>
        <row r="814">
          <cell r="D814" t="str">
            <v>Battam Holder</v>
          </cell>
          <cell r="Q814">
            <v>121</v>
          </cell>
        </row>
        <row r="815">
          <cell r="D815" t="str">
            <v>Battery Terminal Cap</v>
          </cell>
          <cell r="Q815">
            <v>2</v>
          </cell>
        </row>
        <row r="816">
          <cell r="D816" t="str">
            <v>BBT Bas Bar-40 Amp</v>
          </cell>
          <cell r="Q816">
            <v>0</v>
          </cell>
        </row>
        <row r="817">
          <cell r="D817" t="str">
            <v>BBT Tap off Plug L-1 10Amp</v>
          </cell>
          <cell r="Q817">
            <v>31</v>
          </cell>
        </row>
        <row r="818">
          <cell r="D818" t="str">
            <v>BBT Tap off Plug L-2 10Amp</v>
          </cell>
          <cell r="Q818">
            <v>32</v>
          </cell>
        </row>
        <row r="819">
          <cell r="D819" t="str">
            <v>BBT Tap off Plug L-3 10Amp</v>
          </cell>
          <cell r="Q819">
            <v>7</v>
          </cell>
        </row>
        <row r="820">
          <cell r="D820" t="str">
            <v>Blind Rivets</v>
          </cell>
          <cell r="Q820">
            <v>1</v>
          </cell>
        </row>
        <row r="821">
          <cell r="D821" t="str">
            <v xml:space="preserve">Bulb Multi-Holder </v>
          </cell>
          <cell r="Q821">
            <v>0</v>
          </cell>
        </row>
        <row r="822">
          <cell r="D822" t="str">
            <v>C Pvc Ball Valve-3/4''</v>
          </cell>
          <cell r="Q822">
            <v>1</v>
          </cell>
        </row>
        <row r="823">
          <cell r="D823" t="str">
            <v>C Pvc Elbow-3/4"</v>
          </cell>
          <cell r="Q823">
            <v>0</v>
          </cell>
        </row>
        <row r="824">
          <cell r="D824" t="str">
            <v>C Pvc F-Elbow-3/4x1/2</v>
          </cell>
          <cell r="Q824">
            <v>0</v>
          </cell>
        </row>
        <row r="825">
          <cell r="D825" t="str">
            <v>C Pvc Pipe-3/4"</v>
          </cell>
          <cell r="Q825">
            <v>0</v>
          </cell>
        </row>
        <row r="826">
          <cell r="D826" t="str">
            <v>C Pvc Socket-3/4</v>
          </cell>
          <cell r="Q826">
            <v>0</v>
          </cell>
        </row>
        <row r="827">
          <cell r="D827" t="str">
            <v>C Pvc Tee-3/4"</v>
          </cell>
          <cell r="Q827">
            <v>0</v>
          </cell>
        </row>
        <row r="828">
          <cell r="D828" t="str">
            <v>C/M Plug Set Male/Female</v>
          </cell>
          <cell r="Q828">
            <v>39</v>
          </cell>
        </row>
        <row r="829">
          <cell r="D829" t="str">
            <v>Cable Clip-8mm</v>
          </cell>
          <cell r="Q829">
            <v>0</v>
          </cell>
        </row>
        <row r="830">
          <cell r="D830" t="str">
            <v>Cable Connector-10Amp</v>
          </cell>
          <cell r="Q830">
            <v>40</v>
          </cell>
        </row>
        <row r="831">
          <cell r="D831" t="str">
            <v>Cable Ferul-04rm</v>
          </cell>
          <cell r="Q831">
            <v>242</v>
          </cell>
        </row>
        <row r="832">
          <cell r="D832" t="str">
            <v>Cable Ferul-06rm</v>
          </cell>
          <cell r="Q832">
            <v>4</v>
          </cell>
        </row>
        <row r="833">
          <cell r="D833" t="str">
            <v>Cable Ferul-2 mm</v>
          </cell>
          <cell r="Q833">
            <v>0</v>
          </cell>
        </row>
        <row r="834">
          <cell r="D834" t="str">
            <v>Cable Ferul-25rm</v>
          </cell>
          <cell r="Q834">
            <v>5</v>
          </cell>
        </row>
        <row r="835">
          <cell r="D835" t="str">
            <v>Cable I Lugs-01rm-Black</v>
          </cell>
          <cell r="Q835">
            <v>3</v>
          </cell>
        </row>
        <row r="836">
          <cell r="D836" t="str">
            <v>Cable I Lugs-01rm-Blue</v>
          </cell>
          <cell r="Q836">
            <v>3</v>
          </cell>
        </row>
        <row r="837">
          <cell r="D837" t="str">
            <v>Cable I Lugs-01rm-Red</v>
          </cell>
          <cell r="Q837">
            <v>3</v>
          </cell>
        </row>
        <row r="838">
          <cell r="D838" t="str">
            <v>Cable I Lugs-01rm-Yellow</v>
          </cell>
          <cell r="Q838">
            <v>3</v>
          </cell>
        </row>
        <row r="839">
          <cell r="D839" t="str">
            <v>Cable I Lugs-04rm-Black</v>
          </cell>
          <cell r="Q839">
            <v>109</v>
          </cell>
        </row>
        <row r="840">
          <cell r="D840" t="str">
            <v>Cable I Lugs-04rm-Blue</v>
          </cell>
          <cell r="Q840">
            <v>95</v>
          </cell>
        </row>
        <row r="841">
          <cell r="D841" t="str">
            <v>Cable I Lugs-04rm-Green</v>
          </cell>
          <cell r="Q841">
            <v>265</v>
          </cell>
        </row>
        <row r="842">
          <cell r="D842" t="str">
            <v>Cable I Lugs-04rm-Red</v>
          </cell>
          <cell r="Q842">
            <v>93</v>
          </cell>
        </row>
        <row r="843">
          <cell r="D843" t="str">
            <v>Cable I Lugs-04rm-Yellow</v>
          </cell>
          <cell r="Q843">
            <v>93</v>
          </cell>
        </row>
        <row r="844">
          <cell r="D844" t="str">
            <v>Cable I Lugs-06rm-Black</v>
          </cell>
          <cell r="Q844">
            <v>159</v>
          </cell>
        </row>
        <row r="845">
          <cell r="D845" t="str">
            <v>Cable I Lugs-06rm-Blue</v>
          </cell>
          <cell r="Q845">
            <v>178</v>
          </cell>
        </row>
        <row r="846">
          <cell r="D846" t="str">
            <v>Cable I Lugs-06rm-Green</v>
          </cell>
          <cell r="Q846">
            <v>224</v>
          </cell>
        </row>
        <row r="847">
          <cell r="D847" t="str">
            <v>Cable I Lugs-06rm-Red</v>
          </cell>
          <cell r="Q847">
            <v>168</v>
          </cell>
        </row>
        <row r="848">
          <cell r="D848" t="str">
            <v>Cable I Lugs-06rm-Yellow</v>
          </cell>
          <cell r="Q848">
            <v>178</v>
          </cell>
        </row>
        <row r="849">
          <cell r="D849" t="str">
            <v>Cable I Lugs-1.5 rm-Black</v>
          </cell>
          <cell r="Q849">
            <v>158</v>
          </cell>
        </row>
        <row r="850">
          <cell r="D850" t="str">
            <v>Cable I Lugs-1.5 rm-Blue</v>
          </cell>
          <cell r="Q850">
            <v>158</v>
          </cell>
        </row>
        <row r="851">
          <cell r="D851" t="str">
            <v>Cable I Lugs-1.5 rm-Green</v>
          </cell>
          <cell r="Q851">
            <v>160</v>
          </cell>
        </row>
        <row r="852">
          <cell r="D852" t="str">
            <v>Cable I Lugs-1.5 rm-Red</v>
          </cell>
          <cell r="Q852">
            <v>158</v>
          </cell>
        </row>
        <row r="853">
          <cell r="D853" t="str">
            <v>Cable I Lugs-1.5 rm-Yellow</v>
          </cell>
          <cell r="Q853">
            <v>158</v>
          </cell>
        </row>
        <row r="854">
          <cell r="D854" t="str">
            <v>Cable I Lugs-10rm-Black</v>
          </cell>
          <cell r="Q854">
            <v>98</v>
          </cell>
        </row>
        <row r="855">
          <cell r="D855" t="str">
            <v>Cable I Lugs-10rm-Blue</v>
          </cell>
          <cell r="Q855">
            <v>113</v>
          </cell>
        </row>
        <row r="856">
          <cell r="D856" t="str">
            <v>Cable I Lugs-10rm-Green</v>
          </cell>
          <cell r="Q856">
            <v>108</v>
          </cell>
        </row>
        <row r="857">
          <cell r="D857" t="str">
            <v>Cable I Lugs-10rm-Red</v>
          </cell>
          <cell r="Q857">
            <v>113</v>
          </cell>
        </row>
        <row r="858">
          <cell r="D858" t="str">
            <v>Cable I Lugs-10rm-Yellow</v>
          </cell>
          <cell r="Q858">
            <v>98</v>
          </cell>
        </row>
        <row r="859">
          <cell r="D859" t="str">
            <v>Cable I Lugs-2.5rm-Black</v>
          </cell>
          <cell r="Q859">
            <v>184</v>
          </cell>
        </row>
        <row r="860">
          <cell r="D860" t="str">
            <v>Cable I Lugs-2.5rm-Blue</v>
          </cell>
          <cell r="Q860">
            <v>170</v>
          </cell>
        </row>
        <row r="861">
          <cell r="D861" t="str">
            <v>Cable I Lugs-2.5rm-Green</v>
          </cell>
          <cell r="Q861">
            <v>330</v>
          </cell>
        </row>
        <row r="862">
          <cell r="D862" t="str">
            <v>Cable I Lugs-2.5rm-Red</v>
          </cell>
          <cell r="Q862">
            <v>166</v>
          </cell>
        </row>
        <row r="863">
          <cell r="D863" t="str">
            <v>Cable I Lugs-2.5rm-Yellow</v>
          </cell>
          <cell r="Q863">
            <v>174</v>
          </cell>
        </row>
        <row r="864">
          <cell r="D864" t="str">
            <v>Cable I Lugs-25rm-Blue</v>
          </cell>
          <cell r="Q864">
            <v>10</v>
          </cell>
        </row>
        <row r="865">
          <cell r="D865" t="str">
            <v>Cable I Lugs-25rm-Red</v>
          </cell>
          <cell r="Q865">
            <v>10</v>
          </cell>
        </row>
        <row r="866">
          <cell r="D866" t="str">
            <v>Cable I Lugs-25rm-Yellow</v>
          </cell>
          <cell r="Q866">
            <v>10</v>
          </cell>
        </row>
        <row r="867">
          <cell r="D867" t="str">
            <v>Cable Numbering 0-09</v>
          </cell>
          <cell r="Q867">
            <v>0</v>
          </cell>
        </row>
        <row r="868">
          <cell r="D868" t="str">
            <v>Cable Numbering A-Z</v>
          </cell>
          <cell r="Q868">
            <v>3</v>
          </cell>
        </row>
        <row r="869">
          <cell r="D869" t="str">
            <v>Cable O Lugs-01rm-Black</v>
          </cell>
          <cell r="Q869">
            <v>30</v>
          </cell>
        </row>
        <row r="870">
          <cell r="D870" t="str">
            <v>Cable O Lugs-01rm-Blue</v>
          </cell>
          <cell r="Q870">
            <v>29</v>
          </cell>
        </row>
        <row r="871">
          <cell r="D871" t="str">
            <v>Cable O Lugs-01rm-Green</v>
          </cell>
          <cell r="Q871">
            <v>17</v>
          </cell>
        </row>
        <row r="872">
          <cell r="D872" t="str">
            <v>Cable O Lugs-01rm-Red</v>
          </cell>
          <cell r="Q872">
            <v>28</v>
          </cell>
        </row>
        <row r="873">
          <cell r="D873" t="str">
            <v>Cable O Lugs-01rm-Yellow</v>
          </cell>
          <cell r="Q873">
            <v>31</v>
          </cell>
        </row>
        <row r="874">
          <cell r="D874" t="str">
            <v>Cable O Lugs-04rm-Black</v>
          </cell>
          <cell r="Q874">
            <v>159</v>
          </cell>
        </row>
        <row r="875">
          <cell r="D875" t="str">
            <v>Cable O Lugs-04rm-Blue</v>
          </cell>
          <cell r="Q875">
            <v>31</v>
          </cell>
        </row>
        <row r="876">
          <cell r="D876" t="str">
            <v>Cable O Lugs-04rm-Green</v>
          </cell>
          <cell r="Q876">
            <v>160</v>
          </cell>
        </row>
        <row r="877">
          <cell r="D877" t="str">
            <v>Cable O Lugs-04rm-Red</v>
          </cell>
          <cell r="Q877">
            <v>45</v>
          </cell>
        </row>
        <row r="878">
          <cell r="D878" t="str">
            <v>Cable O Lugs-04rm-Yellow</v>
          </cell>
          <cell r="Q878">
            <v>32</v>
          </cell>
        </row>
        <row r="879">
          <cell r="D879" t="str">
            <v>Cable O Lugs-06rm-Black</v>
          </cell>
          <cell r="Q879">
            <v>239</v>
          </cell>
        </row>
        <row r="880">
          <cell r="D880" t="str">
            <v>Cable O Lugs-06rm-Blue</v>
          </cell>
          <cell r="Q880">
            <v>71</v>
          </cell>
        </row>
        <row r="881">
          <cell r="D881" t="str">
            <v>Cable O Lugs-06rm-Green</v>
          </cell>
          <cell r="Q881">
            <v>240</v>
          </cell>
        </row>
        <row r="882">
          <cell r="D882" t="str">
            <v>Cable O Lugs-06rm-Red</v>
          </cell>
          <cell r="Q882">
            <v>115</v>
          </cell>
        </row>
        <row r="883">
          <cell r="D883" t="str">
            <v>Cable O Lugs-06rm-Yellow</v>
          </cell>
          <cell r="Q883">
            <v>125</v>
          </cell>
        </row>
        <row r="884">
          <cell r="D884" t="str">
            <v>Cable O Lugs-10rm-Black</v>
          </cell>
          <cell r="Q884">
            <v>30</v>
          </cell>
        </row>
        <row r="885">
          <cell r="D885" t="str">
            <v>Cable O Lugs-10rm-Blue</v>
          </cell>
          <cell r="Q885">
            <v>102</v>
          </cell>
        </row>
        <row r="886">
          <cell r="D886" t="str">
            <v>Cable O Lugs-10rm-Green</v>
          </cell>
          <cell r="Q886">
            <v>58</v>
          </cell>
        </row>
        <row r="887">
          <cell r="D887" t="str">
            <v>Cable O Lugs-10rm-Red</v>
          </cell>
          <cell r="Q887">
            <v>98</v>
          </cell>
        </row>
        <row r="888">
          <cell r="D888" t="str">
            <v>Cable O Lugs-10rm-Yellow</v>
          </cell>
          <cell r="Q888">
            <v>68</v>
          </cell>
        </row>
        <row r="889">
          <cell r="D889" t="str">
            <v>Cable O Lugs-16rm-Black</v>
          </cell>
          <cell r="Q889">
            <v>14</v>
          </cell>
        </row>
        <row r="890">
          <cell r="D890" t="str">
            <v>Cable O Lugs-16rm-Blue</v>
          </cell>
          <cell r="Q890">
            <v>13</v>
          </cell>
        </row>
        <row r="891">
          <cell r="D891" t="str">
            <v>Cable O Lugs-16rm-Green</v>
          </cell>
          <cell r="Q891">
            <v>14</v>
          </cell>
        </row>
        <row r="892">
          <cell r="D892" t="str">
            <v>Cable O Lugs-16rm-Red</v>
          </cell>
          <cell r="Q892">
            <v>13</v>
          </cell>
        </row>
        <row r="893">
          <cell r="D893" t="str">
            <v>Cable O Lugs-16rm-Yellow</v>
          </cell>
          <cell r="Q893">
            <v>13</v>
          </cell>
        </row>
        <row r="894">
          <cell r="D894" t="str">
            <v>Cable O Lugs-2.5rm-Black</v>
          </cell>
          <cell r="Q894">
            <v>18</v>
          </cell>
        </row>
        <row r="895">
          <cell r="D895" t="str">
            <v>Cable O Lugs-2.5rm-Blue</v>
          </cell>
          <cell r="Q895">
            <v>70</v>
          </cell>
        </row>
        <row r="896">
          <cell r="D896" t="str">
            <v>Cable O Lugs-2.5rm-Red</v>
          </cell>
          <cell r="Q896">
            <v>218</v>
          </cell>
        </row>
        <row r="897">
          <cell r="D897" t="str">
            <v>Cable O Lugs-2.5rm-Yellow</v>
          </cell>
          <cell r="Q897">
            <v>20</v>
          </cell>
        </row>
        <row r="898">
          <cell r="D898" t="str">
            <v>Cable O Lugs-25rm-Black</v>
          </cell>
          <cell r="Q898">
            <v>10</v>
          </cell>
        </row>
        <row r="899">
          <cell r="D899" t="str">
            <v>Cable O Lugs-25rm-Blue</v>
          </cell>
          <cell r="Q899">
            <v>10</v>
          </cell>
        </row>
        <row r="900">
          <cell r="D900" t="str">
            <v>Cable O Lugs-25rm-Green</v>
          </cell>
          <cell r="Q900">
            <v>11</v>
          </cell>
        </row>
        <row r="901">
          <cell r="D901" t="str">
            <v>Cable O Lugs-25rm-Red</v>
          </cell>
          <cell r="Q901">
            <v>7</v>
          </cell>
        </row>
        <row r="902">
          <cell r="D902" t="str">
            <v>Cable O Lugs-25rm-Yellow</v>
          </cell>
          <cell r="Q902">
            <v>11</v>
          </cell>
        </row>
        <row r="903">
          <cell r="D903" t="str">
            <v>Cable O Lugs-35rm-Green</v>
          </cell>
          <cell r="Q903">
            <v>5</v>
          </cell>
        </row>
        <row r="904">
          <cell r="D904" t="str">
            <v>Cable O Lugs-50rm-Blue</v>
          </cell>
          <cell r="Q904">
            <v>12</v>
          </cell>
        </row>
        <row r="905">
          <cell r="D905" t="str">
            <v>Cable O Lugs-50rm-Red</v>
          </cell>
          <cell r="Q905">
            <v>12</v>
          </cell>
        </row>
        <row r="906">
          <cell r="D906" t="str">
            <v>Cable O Lugs-50rm-Yellow</v>
          </cell>
          <cell r="Q906">
            <v>3</v>
          </cell>
        </row>
        <row r="907">
          <cell r="D907" t="str">
            <v>Cable O Lugs-70rm-Black</v>
          </cell>
          <cell r="Q907">
            <v>2</v>
          </cell>
        </row>
        <row r="908">
          <cell r="D908" t="str">
            <v>Cable O Lugs-70rm-Blue</v>
          </cell>
          <cell r="Q908">
            <v>2</v>
          </cell>
        </row>
        <row r="909">
          <cell r="D909" t="str">
            <v>Cable O Lugs-70rm-Red</v>
          </cell>
          <cell r="Q909">
            <v>3</v>
          </cell>
        </row>
        <row r="910">
          <cell r="D910" t="str">
            <v>Cable O Lugs-70rm-Yellow</v>
          </cell>
          <cell r="Q910">
            <v>3</v>
          </cell>
        </row>
        <row r="911">
          <cell r="D911" t="str">
            <v>Cable Tie-100mm</v>
          </cell>
          <cell r="Q911">
            <v>9</v>
          </cell>
        </row>
        <row r="912">
          <cell r="D912" t="str">
            <v>Cable Tie-150mm</v>
          </cell>
          <cell r="Q912">
            <v>0</v>
          </cell>
        </row>
        <row r="913">
          <cell r="D913" t="str">
            <v>Cable Tie-200mm</v>
          </cell>
          <cell r="Q913">
            <v>1</v>
          </cell>
        </row>
        <row r="914">
          <cell r="D914" t="str">
            <v>Cable Tie-250mm</v>
          </cell>
          <cell r="Q914">
            <v>0</v>
          </cell>
        </row>
        <row r="915">
          <cell r="D915" t="str">
            <v>Cable Tie-300mm</v>
          </cell>
          <cell r="Q915">
            <v>3</v>
          </cell>
        </row>
        <row r="916">
          <cell r="D916" t="str">
            <v>Cable Tie-400mm</v>
          </cell>
          <cell r="Q916">
            <v>1</v>
          </cell>
        </row>
        <row r="917">
          <cell r="D917" t="str">
            <v>Cable Tray(4"x3")</v>
          </cell>
          <cell r="Q917">
            <v>88</v>
          </cell>
        </row>
        <row r="918">
          <cell r="D918" t="str">
            <v>Capacitor 20 uf</v>
          </cell>
          <cell r="Q918">
            <v>1</v>
          </cell>
        </row>
        <row r="919">
          <cell r="D919" t="str">
            <v>Cardisk Circuit Board</v>
          </cell>
          <cell r="Q919">
            <v>0</v>
          </cell>
        </row>
        <row r="920">
          <cell r="D920" t="str">
            <v>Ceiling Fan Capacitor 2.5MF</v>
          </cell>
          <cell r="Q920">
            <v>1</v>
          </cell>
        </row>
        <row r="921">
          <cell r="D921" t="str">
            <v>Ceiling Spot Light-12 Watt</v>
          </cell>
          <cell r="Q921">
            <v>5</v>
          </cell>
        </row>
        <row r="922">
          <cell r="D922" t="str">
            <v>Celling Fan Canobi</v>
          </cell>
          <cell r="Q922">
            <v>11</v>
          </cell>
        </row>
        <row r="923">
          <cell r="D923" t="str">
            <v>Celling Fan-56"</v>
          </cell>
          <cell r="Q923">
            <v>10</v>
          </cell>
        </row>
        <row r="924">
          <cell r="D924" t="str">
            <v>Circuit Breaker SP-03A (ABB)</v>
          </cell>
          <cell r="Q924">
            <v>3</v>
          </cell>
        </row>
        <row r="925">
          <cell r="D925" t="str">
            <v>Circuit Breaker SP-04A(ABB)</v>
          </cell>
          <cell r="Q925">
            <v>0</v>
          </cell>
        </row>
        <row r="926">
          <cell r="D926" t="str">
            <v>Circuit Breaker SP-06A(ABB)</v>
          </cell>
          <cell r="Q926">
            <v>6</v>
          </cell>
        </row>
        <row r="927">
          <cell r="D927" t="str">
            <v>Circuit Breaker SP-10A(ABB)</v>
          </cell>
          <cell r="Q927">
            <v>0</v>
          </cell>
        </row>
        <row r="928">
          <cell r="D928" t="str">
            <v>Circuit Breaker SP-10A(Siemens)</v>
          </cell>
          <cell r="Q928">
            <v>3</v>
          </cell>
        </row>
        <row r="929">
          <cell r="D929" t="str">
            <v>Circuit Breaker SP-20A(ABB)</v>
          </cell>
          <cell r="Q929">
            <v>3</v>
          </cell>
        </row>
        <row r="930">
          <cell r="D930" t="str">
            <v>Circuit Breaker SP-20A(Siemens)</v>
          </cell>
          <cell r="Q930">
            <v>20</v>
          </cell>
        </row>
        <row r="931">
          <cell r="D931" t="str">
            <v>Circuit Breaker SP-25A(ABB)</v>
          </cell>
          <cell r="Q931">
            <v>6</v>
          </cell>
        </row>
        <row r="932">
          <cell r="D932" t="str">
            <v>Circuit Breaker SP-32A(ABB)</v>
          </cell>
          <cell r="Q932">
            <v>0</v>
          </cell>
        </row>
        <row r="933">
          <cell r="D933" t="str">
            <v>Circuit Breaker SP-40A(ABB)</v>
          </cell>
          <cell r="Q933">
            <v>6</v>
          </cell>
        </row>
        <row r="934">
          <cell r="D934" t="str">
            <v>Circuit Breaker TP-100A(ABB)</v>
          </cell>
          <cell r="Q934">
            <v>0</v>
          </cell>
        </row>
        <row r="935">
          <cell r="D935" t="str">
            <v>Circuit Breaker TP-10A(ABB)</v>
          </cell>
          <cell r="Q935">
            <v>0</v>
          </cell>
        </row>
        <row r="936">
          <cell r="D936" t="str">
            <v>Circuit Breaker TP-10A(Siemens)</v>
          </cell>
          <cell r="Q936">
            <v>1</v>
          </cell>
        </row>
        <row r="937">
          <cell r="D937" t="str">
            <v>Circuit Breaker TP-16A(ABB)</v>
          </cell>
          <cell r="Q937">
            <v>0</v>
          </cell>
        </row>
        <row r="938">
          <cell r="D938" t="str">
            <v>Circuit Breaker TP-16A(Siemens)</v>
          </cell>
          <cell r="Q938">
            <v>3</v>
          </cell>
        </row>
        <row r="939">
          <cell r="D939" t="str">
            <v>Circuit Breaker TP-200A(ABB)</v>
          </cell>
          <cell r="Q939">
            <v>0</v>
          </cell>
        </row>
        <row r="940">
          <cell r="D940" t="str">
            <v>Circuit Breaker TP-25A (Schneider)</v>
          </cell>
          <cell r="Q940">
            <v>3</v>
          </cell>
        </row>
        <row r="941">
          <cell r="D941" t="str">
            <v>Circuit Breaker TP-25A(ABB)</v>
          </cell>
          <cell r="Q941">
            <v>3</v>
          </cell>
        </row>
        <row r="942">
          <cell r="D942" t="str">
            <v>Circuit Breaker TP-32A (Schneider)</v>
          </cell>
          <cell r="Q942">
            <v>9</v>
          </cell>
        </row>
        <row r="943">
          <cell r="D943" t="str">
            <v>Circuit Breaker TP-32A(ABB)</v>
          </cell>
          <cell r="Q943">
            <v>4</v>
          </cell>
        </row>
        <row r="944">
          <cell r="D944" t="str">
            <v>Circuit Breaker TP-32A(Siemens)</v>
          </cell>
          <cell r="Q944">
            <v>10</v>
          </cell>
        </row>
        <row r="945">
          <cell r="D945" t="str">
            <v>Circuit Breaker TP-40A (Schneider)</v>
          </cell>
          <cell r="Q945">
            <v>3</v>
          </cell>
        </row>
        <row r="946">
          <cell r="D946" t="str">
            <v>Circuit Breaker TP-40A(ABB)</v>
          </cell>
          <cell r="Q946">
            <v>3</v>
          </cell>
        </row>
        <row r="947">
          <cell r="D947" t="str">
            <v>Circuit Breaker TP-80A(ABB)</v>
          </cell>
          <cell r="Q947">
            <v>1</v>
          </cell>
        </row>
        <row r="948">
          <cell r="D948" t="str">
            <v xml:space="preserve">Close Motor Capacitor </v>
          </cell>
          <cell r="Q948">
            <v>7</v>
          </cell>
        </row>
        <row r="949">
          <cell r="D949" t="str">
            <v>Clutch Motor Cork Sheet</v>
          </cell>
          <cell r="Q949">
            <v>20</v>
          </cell>
        </row>
        <row r="950">
          <cell r="D950" t="str">
            <v>Clutch Motor Pully-50 mm</v>
          </cell>
          <cell r="Q950">
            <v>10</v>
          </cell>
        </row>
        <row r="951">
          <cell r="D951" t="str">
            <v>Clutch Motor Pully-55 mm</v>
          </cell>
          <cell r="Q951">
            <v>10</v>
          </cell>
        </row>
        <row r="952">
          <cell r="D952" t="str">
            <v>Contrack Cleaner</v>
          </cell>
          <cell r="Q952">
            <v>2</v>
          </cell>
        </row>
        <row r="953">
          <cell r="D953" t="str">
            <v>Cutting Disk-04"</v>
          </cell>
          <cell r="Q953">
            <v>24</v>
          </cell>
        </row>
        <row r="954">
          <cell r="D954" t="str">
            <v>Cutting Machine Clas</v>
          </cell>
          <cell r="Q954">
            <v>2</v>
          </cell>
        </row>
        <row r="955">
          <cell r="D955" t="str">
            <v>Cutting Machine On/Off Switch</v>
          </cell>
          <cell r="Q955">
            <v>3</v>
          </cell>
        </row>
        <row r="956">
          <cell r="D956" t="str">
            <v>D65 Tube Light-3'</v>
          </cell>
          <cell r="Q956">
            <v>0</v>
          </cell>
        </row>
        <row r="957">
          <cell r="D957" t="str">
            <v>D65 Tube Light-4'</v>
          </cell>
          <cell r="Q957">
            <v>0</v>
          </cell>
        </row>
        <row r="958">
          <cell r="D958" t="str">
            <v>DB Board Pull Lock-Big</v>
          </cell>
          <cell r="Q958">
            <v>1</v>
          </cell>
        </row>
        <row r="959">
          <cell r="D959" t="str">
            <v>DB Board Pull Lock-Small</v>
          </cell>
          <cell r="Q959">
            <v>19</v>
          </cell>
        </row>
        <row r="960">
          <cell r="D960" t="str">
            <v>Down Filling  M/C Power Supply</v>
          </cell>
          <cell r="Q960">
            <v>1</v>
          </cell>
        </row>
        <row r="961">
          <cell r="D961" t="str">
            <v xml:space="preserve">Down Filling On/Of Switch </v>
          </cell>
          <cell r="Q961">
            <v>1</v>
          </cell>
        </row>
        <row r="962">
          <cell r="D962" t="str">
            <v>Drop In Anchor Unifix-08mm</v>
          </cell>
          <cell r="Q962">
            <v>0</v>
          </cell>
        </row>
        <row r="963">
          <cell r="D963" t="str">
            <v>Drop In Anchor Unifix-10mm</v>
          </cell>
          <cell r="Q963">
            <v>20</v>
          </cell>
        </row>
        <row r="964">
          <cell r="D964" t="str">
            <v>Ebonite Board-10"/10"</v>
          </cell>
          <cell r="Q964">
            <v>12</v>
          </cell>
        </row>
        <row r="965">
          <cell r="D965" t="str">
            <v>Ebonite Board-7"/7"</v>
          </cell>
          <cell r="Q965">
            <v>16</v>
          </cell>
        </row>
        <row r="966">
          <cell r="D966" t="str">
            <v>Electric  Tester</v>
          </cell>
          <cell r="Q966">
            <v>0</v>
          </cell>
        </row>
        <row r="967">
          <cell r="D967" t="str">
            <v>Electric Carbon With Spring ( Big )</v>
          </cell>
          <cell r="Q967">
            <v>0</v>
          </cell>
        </row>
        <row r="968">
          <cell r="D968" t="str">
            <v>Electric Carbon With Spring ( Small )</v>
          </cell>
          <cell r="Q968">
            <v>1</v>
          </cell>
        </row>
        <row r="969">
          <cell r="D969" t="str">
            <v>Electric Pvc Tape-Black</v>
          </cell>
          <cell r="Q969">
            <v>80</v>
          </cell>
        </row>
        <row r="970">
          <cell r="D970" t="str">
            <v>Electric Pvc Tape-Blue</v>
          </cell>
          <cell r="Q970">
            <v>11</v>
          </cell>
        </row>
        <row r="971">
          <cell r="D971" t="str">
            <v>Electric Pvc Tape-Green</v>
          </cell>
          <cell r="Q971">
            <v>25</v>
          </cell>
        </row>
        <row r="972">
          <cell r="D972" t="str">
            <v>Electric Pvc Tape-Red</v>
          </cell>
          <cell r="Q972">
            <v>74</v>
          </cell>
        </row>
        <row r="973">
          <cell r="D973" t="str">
            <v>Electric Pvc Tape-Yellow</v>
          </cell>
          <cell r="Q973">
            <v>13</v>
          </cell>
        </row>
        <row r="974">
          <cell r="D974" t="str">
            <v>Electric Safety Shoes</v>
          </cell>
          <cell r="Q974">
            <v>0</v>
          </cell>
        </row>
        <row r="975">
          <cell r="D975" t="str">
            <v>Electric Steam Iron Shoe-(es-300)</v>
          </cell>
          <cell r="Q975">
            <v>14</v>
          </cell>
        </row>
        <row r="976">
          <cell r="D976" t="str">
            <v>Electrical Safety Helmet</v>
          </cell>
          <cell r="Q976">
            <v>1</v>
          </cell>
        </row>
        <row r="977">
          <cell r="D977" t="str">
            <v>Emergency LED Tube Light Single Shade</v>
          </cell>
          <cell r="Q977">
            <v>93</v>
          </cell>
        </row>
        <row r="978">
          <cell r="D978" t="str">
            <v xml:space="preserve">Emergency Switch </v>
          </cell>
          <cell r="Q978">
            <v>2</v>
          </cell>
        </row>
        <row r="979">
          <cell r="D979" t="str">
            <v>End Cutter M/C Carbon</v>
          </cell>
          <cell r="Q979">
            <v>2</v>
          </cell>
        </row>
        <row r="980">
          <cell r="D980" t="str">
            <v>Exhust Fan Belt B-84</v>
          </cell>
          <cell r="Q980">
            <v>2</v>
          </cell>
        </row>
        <row r="981">
          <cell r="D981" t="str">
            <v>Exhust Fan Belt B-85</v>
          </cell>
          <cell r="Q981">
            <v>3</v>
          </cell>
        </row>
        <row r="982">
          <cell r="D982" t="str">
            <v>Exhust Fan Belt B-86</v>
          </cell>
          <cell r="Q982">
            <v>3</v>
          </cell>
        </row>
        <row r="983">
          <cell r="D983" t="str">
            <v>Exhust Fan Pully</v>
          </cell>
          <cell r="Q983">
            <v>1</v>
          </cell>
        </row>
        <row r="984">
          <cell r="D984" t="str">
            <v>Exhust Fan-12"</v>
          </cell>
          <cell r="Q984">
            <v>0</v>
          </cell>
        </row>
        <row r="985">
          <cell r="D985" t="str">
            <v>Exhust Fan-8"</v>
          </cell>
          <cell r="Q985">
            <v>0</v>
          </cell>
        </row>
        <row r="986">
          <cell r="D986" t="str">
            <v>Exit Light (08"x12")</v>
          </cell>
          <cell r="Q986">
            <v>47</v>
          </cell>
        </row>
        <row r="987">
          <cell r="D987" t="str">
            <v>Exit Light (10"x15")</v>
          </cell>
          <cell r="Q987">
            <v>21</v>
          </cell>
        </row>
        <row r="988">
          <cell r="D988" t="str">
            <v>Exit Light (18"x15")</v>
          </cell>
          <cell r="Q988">
            <v>26</v>
          </cell>
        </row>
        <row r="989">
          <cell r="D989" t="str">
            <v>Fan Hook-15"</v>
          </cell>
          <cell r="Q989">
            <v>0</v>
          </cell>
        </row>
        <row r="990">
          <cell r="D990" t="str">
            <v>Fan Hook-22"</v>
          </cell>
          <cell r="Q990">
            <v>19</v>
          </cell>
        </row>
        <row r="991">
          <cell r="D991" t="str">
            <v>Filament Bulb-200 Watt</v>
          </cell>
          <cell r="Q991">
            <v>1</v>
          </cell>
        </row>
        <row r="992">
          <cell r="D992" t="str">
            <v>Flance-01"</v>
          </cell>
          <cell r="Q992">
            <v>18</v>
          </cell>
        </row>
        <row r="993">
          <cell r="D993" t="str">
            <v>Flance-02"</v>
          </cell>
          <cell r="Q993">
            <v>0</v>
          </cell>
        </row>
        <row r="994">
          <cell r="D994" t="str">
            <v>Flance-1.5"</v>
          </cell>
          <cell r="Q994">
            <v>0</v>
          </cell>
        </row>
        <row r="995">
          <cell r="D995" t="str">
            <v>Flat 3-Pin Plug</v>
          </cell>
          <cell r="Q995">
            <v>326</v>
          </cell>
        </row>
        <row r="996">
          <cell r="D996" t="str">
            <v>Flat Pin Plug Fuse-10 Amp</v>
          </cell>
          <cell r="Q996">
            <v>68</v>
          </cell>
        </row>
        <row r="997">
          <cell r="D997" t="str">
            <v>Flexiable Joint-300mmx1.5"</v>
          </cell>
          <cell r="Q997">
            <v>3</v>
          </cell>
        </row>
        <row r="998">
          <cell r="D998" t="str">
            <v>Fuse-03 Amp</v>
          </cell>
          <cell r="Q998">
            <v>100</v>
          </cell>
        </row>
        <row r="999">
          <cell r="D999" t="str">
            <v>Fuse-05 Amp</v>
          </cell>
          <cell r="Q999">
            <v>100</v>
          </cell>
        </row>
        <row r="1000">
          <cell r="D1000" t="str">
            <v>Fuse-08 Amp</v>
          </cell>
          <cell r="Q1000">
            <v>0</v>
          </cell>
        </row>
        <row r="1001">
          <cell r="D1001" t="str">
            <v>Fuse-10 Amp</v>
          </cell>
          <cell r="Q1001">
            <v>440</v>
          </cell>
        </row>
        <row r="1002">
          <cell r="D1002" t="str">
            <v>Fuse-13 Amp</v>
          </cell>
          <cell r="Q1002">
            <v>68</v>
          </cell>
        </row>
        <row r="1003">
          <cell r="D1003" t="str">
            <v>Fuse-15 Amp</v>
          </cell>
          <cell r="Q1003">
            <v>100</v>
          </cell>
        </row>
        <row r="1004">
          <cell r="D1004" t="str">
            <v>Fuse-20 Amp</v>
          </cell>
          <cell r="Q1004">
            <v>300</v>
          </cell>
        </row>
        <row r="1005">
          <cell r="D1005" t="str">
            <v>Fuse-25 Amp</v>
          </cell>
          <cell r="Q1005">
            <v>0</v>
          </cell>
        </row>
        <row r="1006">
          <cell r="D1006" t="str">
            <v>Fusing Machine Belt-120XL</v>
          </cell>
          <cell r="Q1006">
            <v>0</v>
          </cell>
        </row>
        <row r="1007">
          <cell r="D1007" t="str">
            <v>Ghat Nipple-1"</v>
          </cell>
          <cell r="Q1007">
            <v>10</v>
          </cell>
        </row>
        <row r="1008">
          <cell r="D1008" t="str">
            <v>GI Bone Cap-01"</v>
          </cell>
          <cell r="Q1008">
            <v>9</v>
          </cell>
        </row>
        <row r="1009">
          <cell r="D1009" t="str">
            <v>GI Bone Cap-02"</v>
          </cell>
          <cell r="Q1009">
            <v>0</v>
          </cell>
        </row>
        <row r="1010">
          <cell r="D1010" t="str">
            <v>GI Bone Cap-1.5"</v>
          </cell>
          <cell r="Q1010">
            <v>0</v>
          </cell>
        </row>
        <row r="1011">
          <cell r="D1011" t="str">
            <v>GI Clamp-1"</v>
          </cell>
          <cell r="Q1011">
            <v>0</v>
          </cell>
        </row>
        <row r="1012">
          <cell r="D1012" t="str">
            <v>GI Clamp-3/4"</v>
          </cell>
          <cell r="Q1012">
            <v>142</v>
          </cell>
        </row>
        <row r="1013">
          <cell r="D1013" t="str">
            <v>GI Elbow-3/4"</v>
          </cell>
          <cell r="Q1013">
            <v>8</v>
          </cell>
        </row>
        <row r="1014">
          <cell r="D1014" t="str">
            <v>Gi Nipple-1/2"</v>
          </cell>
          <cell r="Q1014">
            <v>0</v>
          </cell>
        </row>
        <row r="1015">
          <cell r="D1015" t="str">
            <v xml:space="preserve">GI Pipe Nipple-1/2" </v>
          </cell>
          <cell r="Q1015">
            <v>14</v>
          </cell>
        </row>
        <row r="1016">
          <cell r="D1016" t="str">
            <v>GI Pipe-01"</v>
          </cell>
          <cell r="Q1016">
            <v>200</v>
          </cell>
        </row>
        <row r="1017">
          <cell r="D1017" t="str">
            <v>GI Pipe-02"</v>
          </cell>
          <cell r="Q1017">
            <v>0</v>
          </cell>
        </row>
        <row r="1018">
          <cell r="D1018" t="str">
            <v>GI Pipe-1.5"</v>
          </cell>
          <cell r="Q1018">
            <v>400</v>
          </cell>
        </row>
        <row r="1019">
          <cell r="D1019" t="str">
            <v>GI Pipe-1/2"</v>
          </cell>
          <cell r="Q1019">
            <v>0</v>
          </cell>
        </row>
        <row r="1020">
          <cell r="D1020" t="str">
            <v>GI Pipe-3/4"</v>
          </cell>
          <cell r="Q1020">
            <v>0</v>
          </cell>
        </row>
        <row r="1021">
          <cell r="D1021" t="str">
            <v>Gi Reduser-1/1.5"</v>
          </cell>
          <cell r="Q1021">
            <v>1</v>
          </cell>
        </row>
        <row r="1022">
          <cell r="D1022" t="str">
            <v>GI Socket-3/4"</v>
          </cell>
          <cell r="Q1022">
            <v>0</v>
          </cell>
        </row>
        <row r="1023">
          <cell r="D1023" t="str">
            <v>GI Tee-1"</v>
          </cell>
          <cell r="Q1023">
            <v>0</v>
          </cell>
        </row>
        <row r="1024">
          <cell r="D1024" t="str">
            <v>GI Tee-3/4"</v>
          </cell>
          <cell r="Q1024">
            <v>3</v>
          </cell>
        </row>
        <row r="1025">
          <cell r="D1025" t="str">
            <v>Gi Union-1"</v>
          </cell>
          <cell r="Q1025">
            <v>8</v>
          </cell>
        </row>
        <row r="1026">
          <cell r="D1026" t="str">
            <v>Gi Union-1.5"</v>
          </cell>
          <cell r="Q1026">
            <v>0</v>
          </cell>
        </row>
        <row r="1027">
          <cell r="D1027" t="str">
            <v>Glass Woll-2"</v>
          </cell>
          <cell r="Q1027">
            <v>7</v>
          </cell>
        </row>
        <row r="1028">
          <cell r="D1028" t="str">
            <v>Glue Gum-237ml</v>
          </cell>
          <cell r="Q1028">
            <v>0</v>
          </cell>
        </row>
        <row r="1029">
          <cell r="D1029" t="str">
            <v>Granding Machine</v>
          </cell>
          <cell r="Q1029">
            <v>1</v>
          </cell>
        </row>
        <row r="1030">
          <cell r="D1030" t="str">
            <v>Hammer Drill Bit-08mm</v>
          </cell>
          <cell r="Q1030">
            <v>5</v>
          </cell>
        </row>
        <row r="1031">
          <cell r="D1031" t="str">
            <v>Hammer Drill Bit-10mm</v>
          </cell>
          <cell r="Q1031">
            <v>6</v>
          </cell>
        </row>
        <row r="1032">
          <cell r="D1032" t="str">
            <v>Hammer Drill Bit-12mm</v>
          </cell>
          <cell r="Q1032">
            <v>3</v>
          </cell>
        </row>
        <row r="1033">
          <cell r="D1033" t="str">
            <v>Hammer Drill Bit-14mm</v>
          </cell>
          <cell r="Q1033">
            <v>2</v>
          </cell>
        </row>
        <row r="1034">
          <cell r="D1034" t="str">
            <v>Hammer Drill Bit-16mm</v>
          </cell>
          <cell r="Q1034">
            <v>0</v>
          </cell>
        </row>
        <row r="1035">
          <cell r="D1035" t="str">
            <v>Hammer Drill Bit-18mm</v>
          </cell>
          <cell r="Q1035">
            <v>0</v>
          </cell>
        </row>
        <row r="1036">
          <cell r="D1036" t="str">
            <v>Hammer Drill Bit-3/8mm</v>
          </cell>
          <cell r="Q1036">
            <v>6</v>
          </cell>
        </row>
        <row r="1037">
          <cell r="D1037" t="str">
            <v>Hammer Drill Bit-6.5mm</v>
          </cell>
          <cell r="Q1037">
            <v>22</v>
          </cell>
        </row>
        <row r="1038">
          <cell r="D1038" t="str">
            <v xml:space="preserve">Head Board Short Cable </v>
          </cell>
          <cell r="Q1038">
            <v>0</v>
          </cell>
        </row>
        <row r="1039">
          <cell r="D1039" t="str">
            <v>Head Movement Pully</v>
          </cell>
          <cell r="Q1039">
            <v>0</v>
          </cell>
        </row>
        <row r="1040">
          <cell r="D1040" t="str">
            <v>Heat Seal Machine Base Plate</v>
          </cell>
          <cell r="Q1040">
            <v>0</v>
          </cell>
        </row>
        <row r="1041">
          <cell r="D1041" t="str">
            <v>Heat Seal Rubber( 4'x3')</v>
          </cell>
          <cell r="Q1041">
            <v>1</v>
          </cell>
        </row>
        <row r="1042">
          <cell r="D1042" t="str">
            <v>Heat Shink Tube-10rm</v>
          </cell>
          <cell r="Q1042">
            <v>0</v>
          </cell>
        </row>
        <row r="1043">
          <cell r="D1043" t="str">
            <v>Heat Shink Tube-240 rm</v>
          </cell>
          <cell r="Q1043">
            <v>0</v>
          </cell>
        </row>
        <row r="1044">
          <cell r="D1044" t="str">
            <v>Heat Shink Tube-30rm</v>
          </cell>
          <cell r="Q1044">
            <v>0</v>
          </cell>
        </row>
        <row r="1045">
          <cell r="D1045" t="str">
            <v>Indicator for DB Board</v>
          </cell>
          <cell r="Q1045">
            <v>14</v>
          </cell>
        </row>
        <row r="1046">
          <cell r="D1046" t="str">
            <v>Insalition Wire -2mm</v>
          </cell>
          <cell r="Q1046">
            <v>0</v>
          </cell>
        </row>
        <row r="1047">
          <cell r="D1047" t="str">
            <v>Iron Drill Bit-0.2mm</v>
          </cell>
          <cell r="Q1047">
            <v>1</v>
          </cell>
        </row>
        <row r="1048">
          <cell r="D1048" t="str">
            <v>Iron Drill Bit-0.5mm</v>
          </cell>
          <cell r="Q1048">
            <v>1</v>
          </cell>
        </row>
        <row r="1049">
          <cell r="D1049" t="str">
            <v>Iron Drill Bit-1/2mm</v>
          </cell>
          <cell r="Q1049">
            <v>6</v>
          </cell>
        </row>
        <row r="1050">
          <cell r="D1050" t="str">
            <v>Iron Drill Bit-1/4mm</v>
          </cell>
          <cell r="Q1050">
            <v>0</v>
          </cell>
        </row>
        <row r="1051">
          <cell r="D1051" t="str">
            <v>Iron Drill Bit-1/8mm</v>
          </cell>
          <cell r="Q1051">
            <v>8</v>
          </cell>
        </row>
        <row r="1052">
          <cell r="D1052" t="str">
            <v>Iron Drill Bit-9/64mm</v>
          </cell>
          <cell r="Q1052">
            <v>0</v>
          </cell>
        </row>
        <row r="1053">
          <cell r="D1053" t="str">
            <v>Iron Key Push Lever</v>
          </cell>
          <cell r="Q1053">
            <v>20</v>
          </cell>
        </row>
        <row r="1054">
          <cell r="D1054" t="str">
            <v xml:space="preserve">Iron Key Spring </v>
          </cell>
          <cell r="Q1054">
            <v>61</v>
          </cell>
        </row>
        <row r="1055">
          <cell r="D1055" t="str">
            <v>Iron Table Stead Bugs</v>
          </cell>
          <cell r="Q1055">
            <v>0</v>
          </cell>
        </row>
        <row r="1056">
          <cell r="D1056" t="str">
            <v>J Hook-1.5"</v>
          </cell>
          <cell r="Q1056">
            <v>288</v>
          </cell>
        </row>
        <row r="1057">
          <cell r="D1057" t="str">
            <v>Ladder-9 Step</v>
          </cell>
          <cell r="Q1057">
            <v>0</v>
          </cell>
        </row>
        <row r="1058">
          <cell r="D1058" t="str">
            <v>Laser Light-Big (-)</v>
          </cell>
          <cell r="Q1058">
            <v>4</v>
          </cell>
        </row>
        <row r="1059">
          <cell r="D1059" t="str">
            <v>Laser Light-Big (+)</v>
          </cell>
          <cell r="Q1059">
            <v>2</v>
          </cell>
        </row>
        <row r="1060">
          <cell r="D1060" t="str">
            <v>Laser Light-Small (-)</v>
          </cell>
          <cell r="Q1060">
            <v>6</v>
          </cell>
        </row>
        <row r="1061">
          <cell r="D1061" t="str">
            <v>Laser Light-Small (+)</v>
          </cell>
          <cell r="Q1061">
            <v>7</v>
          </cell>
        </row>
        <row r="1062">
          <cell r="D1062" t="str">
            <v>LED 3000 Light-3'</v>
          </cell>
          <cell r="Q1062">
            <v>0</v>
          </cell>
        </row>
        <row r="1063">
          <cell r="D1063" t="str">
            <v>Led Emergency Light</v>
          </cell>
          <cell r="Q1063">
            <v>1</v>
          </cell>
        </row>
        <row r="1064">
          <cell r="D1064" t="str">
            <v>LED Flood Light-100 Watt</v>
          </cell>
          <cell r="Q1064">
            <v>5</v>
          </cell>
        </row>
        <row r="1065">
          <cell r="D1065" t="str">
            <v>LED Flood Light-200 Watt</v>
          </cell>
          <cell r="Q1065">
            <v>0</v>
          </cell>
        </row>
        <row r="1066">
          <cell r="D1066" t="str">
            <v>LED Fog Light</v>
          </cell>
          <cell r="Q1066">
            <v>2</v>
          </cell>
        </row>
        <row r="1067">
          <cell r="D1067" t="str">
            <v>Led Light Thread Type-Yellow(9watt)</v>
          </cell>
          <cell r="Q1067">
            <v>2</v>
          </cell>
        </row>
        <row r="1068">
          <cell r="D1068" t="str">
            <v>Led Light-05 Watt</v>
          </cell>
          <cell r="Q1068">
            <v>17</v>
          </cell>
        </row>
        <row r="1069">
          <cell r="D1069" t="str">
            <v>Led Light-18 Watt</v>
          </cell>
          <cell r="Q1069">
            <v>2</v>
          </cell>
        </row>
        <row r="1070">
          <cell r="D1070" t="str">
            <v>LED Tube Light Double Shade</v>
          </cell>
          <cell r="Q1070">
            <v>27</v>
          </cell>
        </row>
        <row r="1071">
          <cell r="D1071" t="str">
            <v>LED Tube Light Single Shade</v>
          </cell>
          <cell r="Q1071">
            <v>107</v>
          </cell>
        </row>
        <row r="1072">
          <cell r="D1072" t="str">
            <v>LED Tube Light-22 Watt</v>
          </cell>
          <cell r="Q1072">
            <v>0</v>
          </cell>
        </row>
        <row r="1073">
          <cell r="D1073" t="str">
            <v>Lock Out Tag Out</v>
          </cell>
          <cell r="Q1073">
            <v>0</v>
          </cell>
        </row>
        <row r="1074">
          <cell r="D1074" t="str">
            <v>Magic Flexible Pipe 6"</v>
          </cell>
          <cell r="Q1074">
            <v>21</v>
          </cell>
        </row>
        <row r="1075">
          <cell r="D1075" t="str">
            <v>Magnetic Contactor</v>
          </cell>
          <cell r="Q1075">
            <v>1</v>
          </cell>
        </row>
        <row r="1076">
          <cell r="D1076" t="str">
            <v>Metal Flexible Pipe 01"</v>
          </cell>
          <cell r="Q1076">
            <v>0</v>
          </cell>
        </row>
        <row r="1077">
          <cell r="D1077" t="str">
            <v>Metal Flexible Pipe 1.5"</v>
          </cell>
          <cell r="Q1077">
            <v>2</v>
          </cell>
        </row>
        <row r="1078">
          <cell r="D1078" t="str">
            <v>Metal Flexible Pipe 1/2"</v>
          </cell>
          <cell r="Q1078">
            <v>0</v>
          </cell>
        </row>
        <row r="1079">
          <cell r="D1079" t="str">
            <v>Metal Flexible Pipe 3/4"</v>
          </cell>
          <cell r="Q1079">
            <v>1</v>
          </cell>
        </row>
        <row r="1080">
          <cell r="D1080" t="str">
            <v>Metal Flexible Pipe-02"</v>
          </cell>
          <cell r="Q1080">
            <v>5</v>
          </cell>
        </row>
        <row r="1081">
          <cell r="D1081" t="str">
            <v>Metal Joint Socket-3/4</v>
          </cell>
          <cell r="Q1081">
            <v>4</v>
          </cell>
        </row>
        <row r="1082">
          <cell r="D1082" t="str">
            <v>Metal U-Ben1/2"(Both Side Thread)</v>
          </cell>
          <cell r="Q1082">
            <v>46</v>
          </cell>
        </row>
        <row r="1083">
          <cell r="D1083" t="str">
            <v>Metal U-Ben1/2"(One Side Thread)</v>
          </cell>
          <cell r="Q1083">
            <v>112</v>
          </cell>
        </row>
        <row r="1084">
          <cell r="D1084" t="str">
            <v>Micro/ Limit Switch-C-25</v>
          </cell>
          <cell r="Q1084">
            <v>7</v>
          </cell>
        </row>
        <row r="1085">
          <cell r="D1085" t="str">
            <v>Micro/ Limit Switch-T-125</v>
          </cell>
          <cell r="Q1085">
            <v>17</v>
          </cell>
        </row>
        <row r="1086">
          <cell r="D1086" t="str">
            <v>MK Box Cover</v>
          </cell>
          <cell r="Q1086">
            <v>20</v>
          </cell>
        </row>
        <row r="1087">
          <cell r="D1087" t="str">
            <v>MK Box-01 Gang</v>
          </cell>
          <cell r="Q1087">
            <v>38</v>
          </cell>
        </row>
        <row r="1088">
          <cell r="D1088" t="str">
            <v>MK Box-02 Gang</v>
          </cell>
          <cell r="Q1088">
            <v>12</v>
          </cell>
        </row>
        <row r="1089">
          <cell r="D1089" t="str">
            <v>MK Box-03 Gang</v>
          </cell>
          <cell r="Q1089">
            <v>0</v>
          </cell>
        </row>
        <row r="1090">
          <cell r="D1090" t="str">
            <v>MK Power Socket-05 Pin</v>
          </cell>
          <cell r="Q1090">
            <v>140</v>
          </cell>
        </row>
        <row r="1091">
          <cell r="D1091" t="str">
            <v>MK Steel Box 1 Gang</v>
          </cell>
          <cell r="Q1091">
            <v>25</v>
          </cell>
        </row>
        <row r="1092">
          <cell r="D1092" t="str">
            <v>MK Switch-02 Gang</v>
          </cell>
          <cell r="Q1092">
            <v>8</v>
          </cell>
        </row>
        <row r="1093">
          <cell r="D1093" t="str">
            <v>MK Switch-03 Gang</v>
          </cell>
          <cell r="Q1093">
            <v>8</v>
          </cell>
        </row>
        <row r="1094">
          <cell r="D1094" t="str">
            <v>MK Switch-04 Gang</v>
          </cell>
          <cell r="Q1094">
            <v>23</v>
          </cell>
        </row>
        <row r="1095">
          <cell r="D1095" t="str">
            <v>MK Switch-05 Gang</v>
          </cell>
          <cell r="Q1095">
            <v>5</v>
          </cell>
        </row>
        <row r="1096">
          <cell r="D1096" t="str">
            <v>Motor ON/OFF Switch</v>
          </cell>
          <cell r="Q1096">
            <v>32</v>
          </cell>
        </row>
        <row r="1097">
          <cell r="D1097" t="str">
            <v>MS Angel-1.5mm</v>
          </cell>
          <cell r="Q1097">
            <v>0</v>
          </cell>
        </row>
        <row r="1098">
          <cell r="D1098" t="str">
            <v>MS Bone Cap-1.5"</v>
          </cell>
          <cell r="Q1098">
            <v>0</v>
          </cell>
        </row>
        <row r="1099">
          <cell r="D1099" t="str">
            <v>MS Elbow-01"</v>
          </cell>
          <cell r="Q1099">
            <v>8</v>
          </cell>
        </row>
        <row r="1100">
          <cell r="D1100" t="str">
            <v>MS Elbow-02"</v>
          </cell>
          <cell r="Q1100">
            <v>18</v>
          </cell>
        </row>
        <row r="1101">
          <cell r="D1101" t="str">
            <v>MS Elbow-1.5"</v>
          </cell>
          <cell r="Q1101">
            <v>0</v>
          </cell>
        </row>
        <row r="1102">
          <cell r="D1102" t="str">
            <v>MS Elbow-1/2"</v>
          </cell>
          <cell r="Q1102">
            <v>0</v>
          </cell>
        </row>
        <row r="1103">
          <cell r="D1103" t="str">
            <v>MS Nut Bolt With Washer-10x100mm</v>
          </cell>
          <cell r="Q1103">
            <v>0</v>
          </cell>
        </row>
        <row r="1104">
          <cell r="D1104" t="str">
            <v>MS Nut Bolt With Washer-8.8x100mm</v>
          </cell>
          <cell r="Q1104">
            <v>16</v>
          </cell>
        </row>
        <row r="1105">
          <cell r="D1105" t="str">
            <v>MS Pipe-1"</v>
          </cell>
          <cell r="Q1105">
            <v>160</v>
          </cell>
        </row>
        <row r="1106">
          <cell r="D1106" t="str">
            <v>MS Pipe-1.5"</v>
          </cell>
          <cell r="Q1106">
            <v>600</v>
          </cell>
        </row>
        <row r="1107">
          <cell r="D1107" t="str">
            <v>MS Reduser-1.25/1</v>
          </cell>
          <cell r="Q1107">
            <v>11</v>
          </cell>
        </row>
        <row r="1108">
          <cell r="D1108" t="str">
            <v>MS Reduser-1.5/1.25</v>
          </cell>
          <cell r="Q1108">
            <v>6</v>
          </cell>
        </row>
        <row r="1109">
          <cell r="D1109" t="str">
            <v>MS Reduser-25/15</v>
          </cell>
          <cell r="Q1109">
            <v>40</v>
          </cell>
        </row>
        <row r="1110">
          <cell r="D1110" t="str">
            <v>MS T-01"</v>
          </cell>
          <cell r="Q1110">
            <v>0</v>
          </cell>
        </row>
        <row r="1111">
          <cell r="D1111" t="str">
            <v>MS Tee-1.5/1</v>
          </cell>
          <cell r="Q1111">
            <v>10</v>
          </cell>
        </row>
        <row r="1112">
          <cell r="D1112" t="str">
            <v>MS Tee-2.5/1</v>
          </cell>
          <cell r="Q1112">
            <v>10</v>
          </cell>
        </row>
        <row r="1113">
          <cell r="D1113" t="str">
            <v>MS Tee-2/1</v>
          </cell>
          <cell r="Q1113">
            <v>6</v>
          </cell>
        </row>
        <row r="1114">
          <cell r="D1114" t="str">
            <v>Mut Gut Screw-1.5"</v>
          </cell>
          <cell r="Q1114">
            <v>90</v>
          </cell>
        </row>
        <row r="1115">
          <cell r="D1115" t="str">
            <v>Mut Gut Washer</v>
          </cell>
          <cell r="Q1115">
            <v>611</v>
          </cell>
        </row>
        <row r="1116">
          <cell r="D1116" t="str">
            <v xml:space="preserve">Narrow  Iron Key </v>
          </cell>
          <cell r="Q1116">
            <v>12</v>
          </cell>
        </row>
        <row r="1117">
          <cell r="D1117" t="str">
            <v>Narrow Steam Iron</v>
          </cell>
          <cell r="Q1117">
            <v>0</v>
          </cell>
        </row>
        <row r="1118">
          <cell r="D1118" t="str">
            <v>Narrow Steam Iron Shoe(Bsp 200 Blue)</v>
          </cell>
          <cell r="Q1118">
            <v>17</v>
          </cell>
        </row>
        <row r="1119">
          <cell r="D1119" t="str">
            <v>Non-Return Valve-1"</v>
          </cell>
          <cell r="Q1119">
            <v>2</v>
          </cell>
        </row>
        <row r="1120">
          <cell r="D1120" t="str">
            <v>Panel Light-12 Watt</v>
          </cell>
          <cell r="Q1120">
            <v>0</v>
          </cell>
        </row>
        <row r="1121">
          <cell r="D1121" t="str">
            <v>Pattern Cutter Machine Y Timing Belt</v>
          </cell>
          <cell r="Q1121">
            <v>0</v>
          </cell>
        </row>
        <row r="1122">
          <cell r="D1122" t="str">
            <v xml:space="preserve">Pattern Cutting Machine Head Board </v>
          </cell>
          <cell r="Q1122">
            <v>0</v>
          </cell>
        </row>
        <row r="1123">
          <cell r="D1123" t="str">
            <v>Pest Killer Light 1.5'</v>
          </cell>
          <cell r="Q1123">
            <v>10</v>
          </cell>
        </row>
        <row r="1124">
          <cell r="D1124" t="str">
            <v>Phase Separetor</v>
          </cell>
          <cell r="Q1124">
            <v>4</v>
          </cell>
        </row>
        <row r="1125">
          <cell r="D1125" t="str">
            <v xml:space="preserve">PIB Tape </v>
          </cell>
          <cell r="Q1125">
            <v>0</v>
          </cell>
        </row>
        <row r="1126">
          <cell r="D1126" t="str">
            <v>Plastic Garden Pipe-1"</v>
          </cell>
          <cell r="Q1126">
            <v>0</v>
          </cell>
        </row>
        <row r="1127">
          <cell r="D1127" t="str">
            <v>Plotter Machine  Motor</v>
          </cell>
          <cell r="Q1127">
            <v>0</v>
          </cell>
        </row>
        <row r="1128">
          <cell r="D1128" t="str">
            <v>PP Belt M/C Power Supply</v>
          </cell>
          <cell r="Q1128">
            <v>0</v>
          </cell>
        </row>
        <row r="1129">
          <cell r="D1129" t="str">
            <v>Preasure Gage Meter -3/8''</v>
          </cell>
          <cell r="Q1129">
            <v>0</v>
          </cell>
        </row>
        <row r="1130">
          <cell r="D1130" t="str">
            <v xml:space="preserve">Push Bar </v>
          </cell>
          <cell r="Q1130">
            <v>0</v>
          </cell>
        </row>
        <row r="1131">
          <cell r="D1131" t="str">
            <v>PVC Chanel-1"</v>
          </cell>
          <cell r="Q1131">
            <v>12</v>
          </cell>
        </row>
        <row r="1132">
          <cell r="D1132" t="str">
            <v>PVC Chanel-1.5"</v>
          </cell>
          <cell r="Q1132">
            <v>10</v>
          </cell>
        </row>
        <row r="1133">
          <cell r="D1133" t="str">
            <v>PVC Chanel-3/4"</v>
          </cell>
          <cell r="Q1133">
            <v>0</v>
          </cell>
        </row>
        <row r="1134">
          <cell r="D1134" t="str">
            <v>Pvc Elbow-01"</v>
          </cell>
          <cell r="Q1134">
            <v>72</v>
          </cell>
        </row>
        <row r="1135">
          <cell r="D1135" t="str">
            <v>Pvc Elbow-04"</v>
          </cell>
          <cell r="Q1135">
            <v>6</v>
          </cell>
        </row>
        <row r="1136">
          <cell r="D1136" t="str">
            <v>Pvc Elbow-3/4"</v>
          </cell>
          <cell r="Q1136">
            <v>30</v>
          </cell>
        </row>
        <row r="1137">
          <cell r="D1137" t="str">
            <v>Pvc Flexible Pipe 01"</v>
          </cell>
          <cell r="Q1137">
            <v>0</v>
          </cell>
        </row>
        <row r="1138">
          <cell r="D1138" t="str">
            <v>Pvc Flexible Pipe 1/2"</v>
          </cell>
          <cell r="Q1138">
            <v>2</v>
          </cell>
        </row>
        <row r="1139">
          <cell r="D1139" t="str">
            <v>Pvc Flexible Pipe 3/4"</v>
          </cell>
          <cell r="Q1139">
            <v>1</v>
          </cell>
        </row>
        <row r="1140">
          <cell r="D1140" t="str">
            <v>Pvc Gallon-25</v>
          </cell>
          <cell r="Q1140">
            <v>5</v>
          </cell>
        </row>
        <row r="1141">
          <cell r="D1141" t="str">
            <v>PVC Galon-PG19</v>
          </cell>
          <cell r="Q1141">
            <v>17</v>
          </cell>
        </row>
        <row r="1142">
          <cell r="D1142" t="str">
            <v>PVC Long Trap-04"</v>
          </cell>
          <cell r="Q1142">
            <v>0</v>
          </cell>
        </row>
        <row r="1143">
          <cell r="D1143" t="str">
            <v>Pvc Pipe-01''</v>
          </cell>
          <cell r="Q1143">
            <v>30</v>
          </cell>
        </row>
        <row r="1144">
          <cell r="D1144" t="str">
            <v>Pvc Pipe-04''</v>
          </cell>
          <cell r="Q1144">
            <v>0</v>
          </cell>
        </row>
        <row r="1145">
          <cell r="D1145" t="str">
            <v>Pvc Pipe-3/4''</v>
          </cell>
          <cell r="Q1145">
            <v>9</v>
          </cell>
        </row>
        <row r="1146">
          <cell r="D1146" t="str">
            <v>Pvc Socket-01"</v>
          </cell>
          <cell r="Q1146">
            <v>0</v>
          </cell>
        </row>
        <row r="1147">
          <cell r="D1147" t="str">
            <v>Pvc Socket-04"</v>
          </cell>
          <cell r="Q1147">
            <v>3</v>
          </cell>
        </row>
        <row r="1148">
          <cell r="D1148" t="str">
            <v>Pvc Socket-1/2"</v>
          </cell>
          <cell r="Q1148">
            <v>40</v>
          </cell>
        </row>
        <row r="1149">
          <cell r="D1149" t="str">
            <v>Pvc Socket-3/4"</v>
          </cell>
          <cell r="Q1149">
            <v>333</v>
          </cell>
        </row>
        <row r="1150">
          <cell r="D1150" t="str">
            <v>Pvc Tee-01"</v>
          </cell>
          <cell r="Q1150">
            <v>20</v>
          </cell>
        </row>
        <row r="1151">
          <cell r="D1151" t="str">
            <v>Pvc Tee-04"</v>
          </cell>
          <cell r="Q1151">
            <v>2</v>
          </cell>
        </row>
        <row r="1152">
          <cell r="D1152" t="str">
            <v>Pvc Tee-3/4"</v>
          </cell>
          <cell r="Q1152">
            <v>0</v>
          </cell>
        </row>
        <row r="1153">
          <cell r="D1153" t="str">
            <v>Pvc U Bean-1"</v>
          </cell>
          <cell r="Q1153">
            <v>45</v>
          </cell>
        </row>
        <row r="1154">
          <cell r="D1154" t="str">
            <v>Pvc U-Bean-1/2"</v>
          </cell>
          <cell r="Q1154">
            <v>34</v>
          </cell>
        </row>
        <row r="1155">
          <cell r="D1155" t="str">
            <v>Pvc U-Bean-3/4"</v>
          </cell>
          <cell r="Q1155">
            <v>83</v>
          </cell>
        </row>
        <row r="1156">
          <cell r="D1156" t="str">
            <v>Re cone M/C Belt 108xL</v>
          </cell>
          <cell r="Q1156">
            <v>6</v>
          </cell>
        </row>
        <row r="1157">
          <cell r="D1157" t="str">
            <v>Re cone M/C Belt 94xL</v>
          </cell>
          <cell r="Q1157">
            <v>9</v>
          </cell>
        </row>
        <row r="1158">
          <cell r="D1158" t="str">
            <v>Re cone M/C V- Belt-16mm</v>
          </cell>
          <cell r="Q1158">
            <v>6</v>
          </cell>
        </row>
        <row r="1159">
          <cell r="D1159" t="str">
            <v>Rechargebale Drill M/C -12V</v>
          </cell>
          <cell r="Q1159">
            <v>0</v>
          </cell>
        </row>
        <row r="1160">
          <cell r="D1160" t="str">
            <v>Repit Gun Machine</v>
          </cell>
          <cell r="Q1160">
            <v>1</v>
          </cell>
        </row>
        <row r="1161">
          <cell r="D1161" t="str">
            <v>Royal Bolt SS-08mm</v>
          </cell>
          <cell r="Q1161">
            <v>600</v>
          </cell>
        </row>
        <row r="1162">
          <cell r="D1162" t="str">
            <v>Royal Bolt SS-10mm</v>
          </cell>
          <cell r="Q1162">
            <v>156</v>
          </cell>
        </row>
        <row r="1163">
          <cell r="D1163" t="str">
            <v>Royal Bolt SS-12mm</v>
          </cell>
          <cell r="Q1163">
            <v>30</v>
          </cell>
        </row>
        <row r="1164">
          <cell r="D1164" t="str">
            <v>Royal Plug-10mm</v>
          </cell>
          <cell r="Q1164">
            <v>5</v>
          </cell>
        </row>
        <row r="1165">
          <cell r="D1165" t="str">
            <v>Royal Plug-12mm</v>
          </cell>
          <cell r="Q1165">
            <v>10</v>
          </cell>
        </row>
        <row r="1166">
          <cell r="D1166" t="str">
            <v>SDB Board/Consumer Box-06 Gang</v>
          </cell>
          <cell r="Q1166">
            <v>1</v>
          </cell>
        </row>
        <row r="1167">
          <cell r="D1167" t="str">
            <v>SDB Board/Consumer Box-12 Way</v>
          </cell>
          <cell r="Q1167">
            <v>1</v>
          </cell>
        </row>
        <row r="1168">
          <cell r="D1168" t="str">
            <v>SDB Board/Consumer Box-16 Way</v>
          </cell>
          <cell r="Q1168">
            <v>0</v>
          </cell>
        </row>
        <row r="1169">
          <cell r="D1169" t="str">
            <v>Seam Sealing Machine Coil</v>
          </cell>
          <cell r="Q1169">
            <v>2</v>
          </cell>
        </row>
        <row r="1170">
          <cell r="D1170" t="str">
            <v>Sewing M/C Led Light ON/OFF Switch</v>
          </cell>
          <cell r="Q1170">
            <v>11</v>
          </cell>
        </row>
        <row r="1171">
          <cell r="D1171" t="str">
            <v>Sewing Machine Led Light</v>
          </cell>
          <cell r="Q1171">
            <v>40</v>
          </cell>
        </row>
        <row r="1172">
          <cell r="D1172" t="str">
            <v>Sewing Machine Motor Capacitor 18MF</v>
          </cell>
          <cell r="Q1172">
            <v>0</v>
          </cell>
        </row>
        <row r="1173">
          <cell r="D1173" t="str">
            <v>Silicon For Glass Gum</v>
          </cell>
          <cell r="Q1173">
            <v>1</v>
          </cell>
        </row>
        <row r="1174">
          <cell r="D1174" t="str">
            <v>Silicon For MDB Board</v>
          </cell>
          <cell r="Q1174">
            <v>8</v>
          </cell>
        </row>
        <row r="1175">
          <cell r="D1175" t="str">
            <v>Smart Led Light-60 Watt</v>
          </cell>
          <cell r="Q1175">
            <v>13</v>
          </cell>
        </row>
        <row r="1176">
          <cell r="D1176" t="str">
            <v>Soldering Iron Heater-200 Watt</v>
          </cell>
          <cell r="Q1176">
            <v>10</v>
          </cell>
        </row>
        <row r="1177">
          <cell r="D1177" t="str">
            <v>Soldering Iron Heater-300 Watt</v>
          </cell>
          <cell r="Q1177">
            <v>3</v>
          </cell>
        </row>
        <row r="1178">
          <cell r="D1178" t="str">
            <v>Soldering Iron Lead</v>
          </cell>
          <cell r="Q1178">
            <v>1</v>
          </cell>
        </row>
        <row r="1179">
          <cell r="D1179" t="str">
            <v xml:space="preserve">Soldering Iron Stand </v>
          </cell>
          <cell r="Q1179">
            <v>1</v>
          </cell>
        </row>
        <row r="1180">
          <cell r="D1180" t="str">
            <v>Soldering Iron-300 Watt</v>
          </cell>
          <cell r="Q1180">
            <v>2</v>
          </cell>
        </row>
        <row r="1181">
          <cell r="D1181" t="str">
            <v>Soldering Iron-60 Watt</v>
          </cell>
          <cell r="Q1181">
            <v>0</v>
          </cell>
        </row>
        <row r="1182">
          <cell r="D1182" t="str">
            <v>Solusan Gum( Daco)</v>
          </cell>
          <cell r="Q1182">
            <v>4</v>
          </cell>
        </row>
        <row r="1183">
          <cell r="D1183" t="str">
            <v>Solvent Cement-500g</v>
          </cell>
          <cell r="Q1183">
            <v>2</v>
          </cell>
        </row>
        <row r="1184">
          <cell r="D1184" t="str">
            <v>SS Chain for Hanging Light</v>
          </cell>
          <cell r="Q1184">
            <v>523</v>
          </cell>
        </row>
        <row r="1185">
          <cell r="D1185" t="str">
            <v>SS Clamp-3/4"</v>
          </cell>
          <cell r="Q1185">
            <v>0</v>
          </cell>
        </row>
        <row r="1186">
          <cell r="D1186" t="str">
            <v>SS Nut Bolt 12mm</v>
          </cell>
          <cell r="Q1186">
            <v>10</v>
          </cell>
        </row>
        <row r="1187">
          <cell r="D1187" t="str">
            <v>SS Nut Bolt 14mm</v>
          </cell>
          <cell r="Q1187">
            <v>10</v>
          </cell>
        </row>
        <row r="1188">
          <cell r="D1188" t="str">
            <v>SS Nut Bolt 5mm</v>
          </cell>
          <cell r="Q1188">
            <v>0</v>
          </cell>
        </row>
        <row r="1189">
          <cell r="D1189" t="str">
            <v>SS Nut Bolt- 6x1.5"</v>
          </cell>
          <cell r="Q1189">
            <v>0</v>
          </cell>
        </row>
        <row r="1190">
          <cell r="D1190" t="str">
            <v>SS Nut Bolt- 6x30 mm</v>
          </cell>
          <cell r="Q1190">
            <v>100</v>
          </cell>
        </row>
        <row r="1191">
          <cell r="D1191" t="str">
            <v>SS Nut Bolt- 8x2"</v>
          </cell>
          <cell r="Q1191">
            <v>710</v>
          </cell>
        </row>
        <row r="1192">
          <cell r="D1192" t="str">
            <v>Star Screw 1.5"</v>
          </cell>
          <cell r="Q1192">
            <v>902</v>
          </cell>
        </row>
        <row r="1193">
          <cell r="D1193" t="str">
            <v>Star Screw-0.5"</v>
          </cell>
          <cell r="Q1193">
            <v>725</v>
          </cell>
        </row>
        <row r="1194">
          <cell r="D1194" t="str">
            <v>Star Screw-01"</v>
          </cell>
          <cell r="Q1194">
            <v>0</v>
          </cell>
        </row>
        <row r="1195">
          <cell r="D1195" t="str">
            <v>Star Screw-02"</v>
          </cell>
          <cell r="Q1195">
            <v>100</v>
          </cell>
        </row>
        <row r="1196">
          <cell r="D1196" t="str">
            <v>Steam Gate Valve-1"</v>
          </cell>
          <cell r="Q1196">
            <v>0</v>
          </cell>
        </row>
        <row r="1197">
          <cell r="D1197" t="str">
            <v>Steam Gate Valve-1.5"</v>
          </cell>
          <cell r="Q1197">
            <v>0</v>
          </cell>
        </row>
        <row r="1198">
          <cell r="D1198" t="str">
            <v>Steam Iron</v>
          </cell>
          <cell r="Q1198">
            <v>1</v>
          </cell>
        </row>
        <row r="1199">
          <cell r="D1199" t="str">
            <v>Steam Iron Hose Pipe</v>
          </cell>
          <cell r="Q1199">
            <v>31</v>
          </cell>
        </row>
        <row r="1200">
          <cell r="D1200" t="str">
            <v>Steam Iron Hose Pipe Safety Cover</v>
          </cell>
          <cell r="Q1200">
            <v>24</v>
          </cell>
        </row>
        <row r="1201">
          <cell r="D1201" t="str">
            <v>Steam Iron Nozel</v>
          </cell>
          <cell r="Q1201">
            <v>20</v>
          </cell>
        </row>
        <row r="1202">
          <cell r="D1202" t="str">
            <v>Steam Iron Regulator</v>
          </cell>
          <cell r="Q1202">
            <v>0</v>
          </cell>
        </row>
        <row r="1203">
          <cell r="D1203" t="str">
            <v>Steam Iron Safety Plate</v>
          </cell>
          <cell r="Q1203">
            <v>30</v>
          </cell>
        </row>
        <row r="1204">
          <cell r="D1204" t="str">
            <v>Steam Iron Shoe-ASL620</v>
          </cell>
          <cell r="Q1204">
            <v>18</v>
          </cell>
        </row>
        <row r="1205">
          <cell r="D1205" t="str">
            <v>Steam Iron Shoe-BS6PC</v>
          </cell>
          <cell r="Q1205">
            <v>20</v>
          </cell>
        </row>
        <row r="1206">
          <cell r="D1206" t="str">
            <v>Steam Nipple SS 1/2"-1/4</v>
          </cell>
          <cell r="Q1206">
            <v>0</v>
          </cell>
        </row>
        <row r="1207">
          <cell r="D1207" t="str">
            <v>Steam Trap -1"</v>
          </cell>
          <cell r="Q1207">
            <v>2</v>
          </cell>
        </row>
        <row r="1208">
          <cell r="D1208" t="str">
            <v>Steel Saddles-01"</v>
          </cell>
          <cell r="Q1208">
            <v>0</v>
          </cell>
        </row>
        <row r="1209">
          <cell r="D1209" t="str">
            <v>Steel Saddles-02"</v>
          </cell>
          <cell r="Q1209">
            <v>5</v>
          </cell>
        </row>
        <row r="1210">
          <cell r="D1210" t="str">
            <v>Steel Saddles-1.5"</v>
          </cell>
          <cell r="Q1210">
            <v>3</v>
          </cell>
        </row>
        <row r="1211">
          <cell r="D1211" t="str">
            <v>Steel Saddles-1/2"</v>
          </cell>
          <cell r="Q1211">
            <v>13</v>
          </cell>
        </row>
        <row r="1212">
          <cell r="D1212" t="str">
            <v>Steel Saddles-3/4"</v>
          </cell>
          <cell r="Q1212">
            <v>0</v>
          </cell>
        </row>
        <row r="1213">
          <cell r="D1213" t="str">
            <v>Stop Watch</v>
          </cell>
          <cell r="Q1213">
            <v>6</v>
          </cell>
        </row>
        <row r="1214">
          <cell r="D1214" t="str">
            <v>T8 LED Lamp Feting Light</v>
          </cell>
          <cell r="Q1214">
            <v>0</v>
          </cell>
        </row>
        <row r="1215">
          <cell r="D1215" t="str">
            <v>T8 LED Lamp Fetting Light Duble Shade</v>
          </cell>
          <cell r="Q1215">
            <v>2</v>
          </cell>
        </row>
        <row r="1216">
          <cell r="D1216" t="str">
            <v>T8 LED Lamp Fetting Light Shade</v>
          </cell>
          <cell r="Q1216">
            <v>3</v>
          </cell>
        </row>
        <row r="1217">
          <cell r="D1217" t="str">
            <v>Tap Off Plug L-1</v>
          </cell>
          <cell r="Q1217">
            <v>12</v>
          </cell>
        </row>
        <row r="1218">
          <cell r="D1218" t="str">
            <v>Tap Off Plug L-2</v>
          </cell>
          <cell r="Q1218">
            <v>25</v>
          </cell>
        </row>
        <row r="1219">
          <cell r="D1219" t="str">
            <v>Tap Off Plug L-3</v>
          </cell>
          <cell r="Q1219">
            <v>18</v>
          </cell>
        </row>
        <row r="1220">
          <cell r="D1220" t="str">
            <v>Temperature Meter</v>
          </cell>
          <cell r="Q1220">
            <v>4</v>
          </cell>
        </row>
        <row r="1221">
          <cell r="D1221" t="str">
            <v>Thinner Gun M/C Spring</v>
          </cell>
          <cell r="Q1221">
            <v>3</v>
          </cell>
        </row>
        <row r="1222">
          <cell r="D1222" t="str">
            <v>Thread Pipe-1.25"</v>
          </cell>
          <cell r="Q1222">
            <v>2</v>
          </cell>
        </row>
        <row r="1223">
          <cell r="D1223" t="str">
            <v>Thread Tape</v>
          </cell>
          <cell r="Q1223">
            <v>6</v>
          </cell>
        </row>
        <row r="1224">
          <cell r="D1224" t="str">
            <v>Timer Set</v>
          </cell>
          <cell r="Q1224">
            <v>0</v>
          </cell>
        </row>
        <row r="1225">
          <cell r="D1225" t="str">
            <v>Tube Light Blast -36Watt</v>
          </cell>
          <cell r="Q1225">
            <v>3</v>
          </cell>
        </row>
        <row r="1226">
          <cell r="D1226" t="str">
            <v>Tube Light Fitting Clip</v>
          </cell>
          <cell r="Q1226">
            <v>0</v>
          </cell>
        </row>
        <row r="1227">
          <cell r="D1227" t="str">
            <v>Tube Light Holder</v>
          </cell>
          <cell r="Q1227">
            <v>20</v>
          </cell>
        </row>
        <row r="1228">
          <cell r="D1228" t="str">
            <v>U Pvc Pipe -1.5"</v>
          </cell>
          <cell r="Q1228">
            <v>500</v>
          </cell>
        </row>
        <row r="1229">
          <cell r="D1229" t="str">
            <v>U Pvc Tee -1.5"</v>
          </cell>
          <cell r="Q1229">
            <v>10</v>
          </cell>
        </row>
        <row r="1230">
          <cell r="D1230" t="str">
            <v>Up Right Pendent K-5.6 Tmp</v>
          </cell>
          <cell r="Q1230">
            <v>6</v>
          </cell>
        </row>
        <row r="1231">
          <cell r="D1231" t="str">
            <v>Up Right Sprinkler K-5.6 Tmp</v>
          </cell>
          <cell r="Q1231">
            <v>11</v>
          </cell>
        </row>
        <row r="1232">
          <cell r="D1232" t="str">
            <v>V -Belt- 32</v>
          </cell>
          <cell r="Q1232">
            <v>9</v>
          </cell>
        </row>
        <row r="1233">
          <cell r="D1233" t="str">
            <v>V -Belt- 34</v>
          </cell>
          <cell r="Q1233">
            <v>10</v>
          </cell>
        </row>
        <row r="1234">
          <cell r="D1234" t="str">
            <v>V -Belt- 36</v>
          </cell>
          <cell r="Q1234">
            <v>9</v>
          </cell>
        </row>
        <row r="1235">
          <cell r="D1235" t="str">
            <v>V -Belt- 38</v>
          </cell>
          <cell r="Q1235">
            <v>10</v>
          </cell>
        </row>
        <row r="1236">
          <cell r="D1236" t="str">
            <v>V -Belt- 40</v>
          </cell>
          <cell r="Q1236">
            <v>12</v>
          </cell>
        </row>
        <row r="1237">
          <cell r="D1237" t="str">
            <v>V-Belt-15"</v>
          </cell>
          <cell r="Q1237">
            <v>0</v>
          </cell>
        </row>
        <row r="1238">
          <cell r="D1238" t="str">
            <v>Volume Switch</v>
          </cell>
          <cell r="Q1238">
            <v>0</v>
          </cell>
        </row>
        <row r="1239">
          <cell r="D1239" t="str">
            <v>Wall Fan-16"</v>
          </cell>
          <cell r="Q1239">
            <v>0</v>
          </cell>
        </row>
        <row r="1240">
          <cell r="D1240" t="str">
            <v>Wall Fan-18"</v>
          </cell>
          <cell r="Q1240">
            <v>0</v>
          </cell>
        </row>
        <row r="1241">
          <cell r="D1241" t="str">
            <v>Weight Scale Battary</v>
          </cell>
          <cell r="Q1241">
            <v>0</v>
          </cell>
        </row>
        <row r="1242">
          <cell r="D1242" t="str">
            <v>Welding Rod</v>
          </cell>
          <cell r="Q1242">
            <v>3</v>
          </cell>
        </row>
        <row r="1243">
          <cell r="D1243" t="str">
            <v xml:space="preserve">Wire Gase Meter </v>
          </cell>
          <cell r="Q1243">
            <v>1</v>
          </cell>
        </row>
        <row r="1244">
          <cell r="D1244" t="str">
            <v>Wiring Cable-1x1.5 RM-Black</v>
          </cell>
          <cell r="Q1244">
            <v>1</v>
          </cell>
        </row>
        <row r="1245">
          <cell r="D1245" t="str">
            <v>Wiring Cable-1x1.5 RM-Red</v>
          </cell>
          <cell r="Q1245">
            <v>0</v>
          </cell>
        </row>
        <row r="1246">
          <cell r="D1246" t="str">
            <v>Wiring Cable-1x1.5 RM-Yellow</v>
          </cell>
          <cell r="Q1246">
            <v>0</v>
          </cell>
        </row>
        <row r="1247">
          <cell r="D1247" t="str">
            <v>Wiring Cable-1x10 RM-Green</v>
          </cell>
          <cell r="Q1247">
            <v>69</v>
          </cell>
        </row>
        <row r="1248">
          <cell r="D1248" t="str">
            <v>Wiring Cable-1x16 RM-Green</v>
          </cell>
          <cell r="Q1248">
            <v>0</v>
          </cell>
        </row>
        <row r="1249">
          <cell r="D1249" t="str">
            <v>Wiring Cable-1x2.5 RM-Black</v>
          </cell>
          <cell r="Q1249">
            <v>0</v>
          </cell>
        </row>
        <row r="1250">
          <cell r="D1250" t="str">
            <v>Wiring Cable-1x2.5 RM-Green</v>
          </cell>
          <cell r="Q1250">
            <v>0</v>
          </cell>
        </row>
        <row r="1251">
          <cell r="D1251" t="str">
            <v>Wiring Cable-1x2.5 RM-Red</v>
          </cell>
          <cell r="Q1251">
            <v>1</v>
          </cell>
        </row>
        <row r="1252">
          <cell r="D1252" t="str">
            <v>Wiring Cable-1x2.5 RM-Yellow</v>
          </cell>
          <cell r="Q1252">
            <v>0</v>
          </cell>
        </row>
        <row r="1253">
          <cell r="D1253" t="str">
            <v>Wiring Cable-1x4 RM-Black</v>
          </cell>
          <cell r="Q1253">
            <v>2</v>
          </cell>
        </row>
        <row r="1254">
          <cell r="D1254" t="str">
            <v>Wiring Cable-1x4 RM-Green</v>
          </cell>
          <cell r="Q1254">
            <v>3</v>
          </cell>
        </row>
        <row r="1255">
          <cell r="D1255" t="str">
            <v>Wiring Cable-1x4 RM-Red</v>
          </cell>
          <cell r="Q1255">
            <v>2</v>
          </cell>
        </row>
        <row r="1256">
          <cell r="D1256" t="str">
            <v>Wiring Cable-2x10 RM-Black</v>
          </cell>
          <cell r="Q1256">
            <v>69</v>
          </cell>
        </row>
        <row r="1257">
          <cell r="D1257" t="str">
            <v>Wiring Cable-2x2.5 RM-Grey</v>
          </cell>
          <cell r="Q1257">
            <v>0</v>
          </cell>
        </row>
        <row r="1258">
          <cell r="D1258" t="str">
            <v>Wiring Cable-3x4 RM-Grey</v>
          </cell>
          <cell r="Q1258">
            <v>1</v>
          </cell>
        </row>
        <row r="1259">
          <cell r="D1259" t="str">
            <v>Wiring Cable-4x4 RM-Grey</v>
          </cell>
          <cell r="Q1259">
            <v>1</v>
          </cell>
        </row>
        <row r="1260">
          <cell r="D1260" t="str">
            <v>Y-Stnainer-1"</v>
          </cell>
          <cell r="Q1260">
            <v>1</v>
          </cell>
        </row>
        <row r="1261">
          <cell r="D1261" t="str">
            <v xml:space="preserve"> Critical Binding Folder-30mm-7mm</v>
          </cell>
          <cell r="Q1261">
            <v>0</v>
          </cell>
        </row>
        <row r="1262">
          <cell r="D1262" t="str">
            <v xml:space="preserve"> Critical Binding Folder-32mm-8mm</v>
          </cell>
          <cell r="Q1262">
            <v>0</v>
          </cell>
        </row>
        <row r="1263">
          <cell r="D1263" t="str">
            <v xml:space="preserve"> GA Tar-22 No</v>
          </cell>
          <cell r="Q1263">
            <v>9.5</v>
          </cell>
        </row>
        <row r="1264">
          <cell r="D1264" t="str">
            <v xml:space="preserve"> GA Tar-26 No</v>
          </cell>
          <cell r="Q1264">
            <v>0</v>
          </cell>
        </row>
        <row r="1265">
          <cell r="D1265" t="str">
            <v xml:space="preserve"> Metal Feet Dog(Japan)</v>
          </cell>
          <cell r="Q1265">
            <v>8</v>
          </cell>
        </row>
        <row r="1266">
          <cell r="D1266" t="str">
            <v>3-Needle Chain Stitch Machine Lopper</v>
          </cell>
          <cell r="Q1266">
            <v>5</v>
          </cell>
        </row>
        <row r="1267">
          <cell r="D1267" t="str">
            <v>A.P.W Center Knife</v>
          </cell>
          <cell r="Q1267">
            <v>2</v>
          </cell>
        </row>
        <row r="1268">
          <cell r="D1268" t="str">
            <v>A.P.W Gauge Set-16mm</v>
          </cell>
          <cell r="Q1268">
            <v>2</v>
          </cell>
        </row>
        <row r="1269">
          <cell r="D1269" t="str">
            <v>Allenkey Nut Bolt-1.5"</v>
          </cell>
          <cell r="Q1269">
            <v>2</v>
          </cell>
        </row>
        <row r="1270">
          <cell r="D1270" t="str">
            <v>APW Corner Knife -40</v>
          </cell>
          <cell r="Q1270">
            <v>2</v>
          </cell>
        </row>
        <row r="1271">
          <cell r="D1271" t="str">
            <v>APW Corner Knife -50</v>
          </cell>
          <cell r="Q1271">
            <v>2</v>
          </cell>
        </row>
        <row r="1272">
          <cell r="D1272" t="str">
            <v>APW Corner Knife -60</v>
          </cell>
          <cell r="Q1272">
            <v>2</v>
          </cell>
        </row>
        <row r="1273">
          <cell r="D1273" t="str">
            <v>APW Corner Knife -70</v>
          </cell>
          <cell r="Q1273">
            <v>2</v>
          </cell>
        </row>
        <row r="1274">
          <cell r="D1274" t="str">
            <v>B/H Machine Knife-1/2</v>
          </cell>
          <cell r="Q1274">
            <v>0</v>
          </cell>
        </row>
        <row r="1275">
          <cell r="D1275" t="str">
            <v>B/H Machine Knife-1/4</v>
          </cell>
          <cell r="Q1275">
            <v>34</v>
          </cell>
        </row>
        <row r="1276">
          <cell r="D1276" t="str">
            <v>B/H Machine Knife-3/4</v>
          </cell>
          <cell r="Q1276">
            <v>11</v>
          </cell>
        </row>
        <row r="1277">
          <cell r="D1277" t="str">
            <v>B/H Machine Knife-3/8</v>
          </cell>
          <cell r="Q1277">
            <v>11</v>
          </cell>
        </row>
        <row r="1278">
          <cell r="D1278" t="str">
            <v>B/H Machine Knife-5/8</v>
          </cell>
          <cell r="Q1278">
            <v>12</v>
          </cell>
        </row>
        <row r="1279">
          <cell r="D1279" t="str">
            <v>B/H Rotary Hook</v>
          </cell>
          <cell r="Q1279">
            <v>1</v>
          </cell>
        </row>
        <row r="1280">
          <cell r="D1280" t="str">
            <v>B/H upper Scissors</v>
          </cell>
          <cell r="Q1280">
            <v>2</v>
          </cell>
        </row>
        <row r="1281">
          <cell r="D1281" t="str">
            <v>B/S Machine Button Attachment Set</v>
          </cell>
          <cell r="Q1281">
            <v>0</v>
          </cell>
        </row>
        <row r="1282">
          <cell r="D1282" t="str">
            <v>B/S Machine Button Kaser Set</v>
          </cell>
          <cell r="Q1282">
            <v>10</v>
          </cell>
        </row>
        <row r="1283">
          <cell r="D1283" t="str">
            <v>B/S Needle Hole Plate-Heavy-2.5mm</v>
          </cell>
          <cell r="Q1283">
            <v>5</v>
          </cell>
        </row>
        <row r="1284">
          <cell r="D1284" t="str">
            <v>B/S Sang Pin</v>
          </cell>
          <cell r="Q1284">
            <v>14</v>
          </cell>
        </row>
        <row r="1285">
          <cell r="D1285" t="str">
            <v>B/T Eye Glass</v>
          </cell>
          <cell r="Q1285">
            <v>6</v>
          </cell>
        </row>
        <row r="1286">
          <cell r="D1286" t="str">
            <v>B/T Feet Palet-20mm(Brother)</v>
          </cell>
          <cell r="Q1286">
            <v>1</v>
          </cell>
        </row>
        <row r="1287">
          <cell r="D1287" t="str">
            <v>B/T Feet Palet-25mm(Brother)</v>
          </cell>
          <cell r="Q1287">
            <v>2</v>
          </cell>
        </row>
        <row r="1288">
          <cell r="D1288" t="str">
            <v>B/T Feet Palet-28mm(Juki)</v>
          </cell>
          <cell r="Q1288">
            <v>5</v>
          </cell>
        </row>
        <row r="1289">
          <cell r="D1289" t="str">
            <v>B/T Feet Palet-30mm(Juki)</v>
          </cell>
          <cell r="Q1289">
            <v>7</v>
          </cell>
        </row>
        <row r="1290">
          <cell r="D1290" t="str">
            <v>B/T Feet Palet-35mm(Brother)</v>
          </cell>
          <cell r="Q1290">
            <v>5</v>
          </cell>
        </row>
        <row r="1291">
          <cell r="D1291" t="str">
            <v>B/T Feet Palet-35mm(Juki)</v>
          </cell>
          <cell r="Q1291">
            <v>9</v>
          </cell>
        </row>
        <row r="1292">
          <cell r="D1292" t="str">
            <v>B/T Machine Additional Set(Big)</v>
          </cell>
          <cell r="Q1292">
            <v>8</v>
          </cell>
        </row>
        <row r="1293">
          <cell r="D1293" t="str">
            <v>B/T Machine Additional Set(Small)</v>
          </cell>
          <cell r="Q1293">
            <v>0</v>
          </cell>
        </row>
        <row r="1294">
          <cell r="D1294" t="str">
            <v>B/T Machine Ring-Brother</v>
          </cell>
          <cell r="Q1294">
            <v>0</v>
          </cell>
        </row>
        <row r="1295">
          <cell r="D1295" t="str">
            <v>B/T Machine Ring-Juki</v>
          </cell>
          <cell r="Q1295">
            <v>0</v>
          </cell>
        </row>
        <row r="1296">
          <cell r="D1296" t="str">
            <v>B/T Machine Sattel-Brother</v>
          </cell>
          <cell r="Q1296">
            <v>0</v>
          </cell>
        </row>
        <row r="1297">
          <cell r="D1297" t="str">
            <v>B/T Machine Sattel-Juki</v>
          </cell>
          <cell r="Q1297">
            <v>0</v>
          </cell>
        </row>
        <row r="1298">
          <cell r="D1298" t="str">
            <v>B/T Needle Bar</v>
          </cell>
          <cell r="Q1298">
            <v>3</v>
          </cell>
        </row>
        <row r="1299">
          <cell r="D1299" t="str">
            <v>B/T Needle Hole Plate-2.3mm</v>
          </cell>
          <cell r="Q1299">
            <v>0</v>
          </cell>
        </row>
        <row r="1300">
          <cell r="D1300" t="str">
            <v>B/T Needle Hole Plate-2.3mm-Brother</v>
          </cell>
          <cell r="Q1300">
            <v>3</v>
          </cell>
        </row>
        <row r="1301">
          <cell r="D1301" t="str">
            <v>B/T Needle Hole Plate-2.3mm-Juki</v>
          </cell>
          <cell r="Q1301">
            <v>4</v>
          </cell>
        </row>
        <row r="1302">
          <cell r="D1302" t="str">
            <v>B/T Needle Hole Plate-2.5mm</v>
          </cell>
          <cell r="Q1302">
            <v>1</v>
          </cell>
        </row>
        <row r="1303">
          <cell r="D1303" t="str">
            <v>B/T Needle Hole Plate-2.5mm-Brother</v>
          </cell>
          <cell r="Q1303">
            <v>2</v>
          </cell>
        </row>
        <row r="1304">
          <cell r="D1304" t="str">
            <v>B/T Needle Hole Plate-2.5mm-Juki</v>
          </cell>
          <cell r="Q1304">
            <v>4</v>
          </cell>
        </row>
        <row r="1305">
          <cell r="D1305" t="str">
            <v>B/T Needle Hole Plate-2.8mm</v>
          </cell>
          <cell r="Q1305">
            <v>3</v>
          </cell>
        </row>
        <row r="1306">
          <cell r="D1306" t="str">
            <v>B/T Needle Hole Plate-2mm</v>
          </cell>
          <cell r="Q1306">
            <v>5</v>
          </cell>
        </row>
        <row r="1307">
          <cell r="D1307" t="str">
            <v>B/T Needle Hole Plate-3.2mm</v>
          </cell>
          <cell r="Q1307">
            <v>0</v>
          </cell>
        </row>
        <row r="1308">
          <cell r="D1308" t="str">
            <v>B/T Needle Hole Plate-3.2mm-Brother</v>
          </cell>
          <cell r="Q1308">
            <v>3</v>
          </cell>
        </row>
        <row r="1309">
          <cell r="D1309" t="str">
            <v>B/T Needle Hole Plate-3.2mm-Juki</v>
          </cell>
          <cell r="Q1309">
            <v>5</v>
          </cell>
        </row>
        <row r="1310">
          <cell r="D1310" t="str">
            <v>B/T Palet+Pressure Feet-22mm(Juki)</v>
          </cell>
          <cell r="Q1310">
            <v>1</v>
          </cell>
        </row>
        <row r="1311">
          <cell r="D1311" t="str">
            <v>B/T Pressure Feet-15mm</v>
          </cell>
          <cell r="Q1311">
            <v>5</v>
          </cell>
        </row>
        <row r="1312">
          <cell r="D1312" t="str">
            <v>B/T Pressure Feet-20mm</v>
          </cell>
          <cell r="Q1312">
            <v>7</v>
          </cell>
        </row>
        <row r="1313">
          <cell r="D1313" t="str">
            <v>B/T Pressure Feet-24mm</v>
          </cell>
          <cell r="Q1313">
            <v>0</v>
          </cell>
        </row>
        <row r="1314">
          <cell r="D1314" t="str">
            <v>B/T Pressure Feet-25mm</v>
          </cell>
          <cell r="Q1314">
            <v>3</v>
          </cell>
        </row>
        <row r="1315">
          <cell r="D1315" t="str">
            <v>B/T Pressure Feet-30mm</v>
          </cell>
          <cell r="Q1315">
            <v>1</v>
          </cell>
        </row>
        <row r="1316">
          <cell r="D1316" t="str">
            <v>B/T Pressure Feet-35mm</v>
          </cell>
          <cell r="Q1316">
            <v>1</v>
          </cell>
        </row>
        <row r="1317">
          <cell r="D1317" t="str">
            <v>B/T Round Presser Feet/Plate (Brother)</v>
          </cell>
          <cell r="Q1317">
            <v>10</v>
          </cell>
        </row>
        <row r="1318">
          <cell r="D1318" t="str">
            <v>B/T Round Presser Feet/Plate (juki)</v>
          </cell>
          <cell r="Q1318">
            <v>0</v>
          </cell>
        </row>
        <row r="1319">
          <cell r="D1319" t="str">
            <v>B/T Saddle Hook</v>
          </cell>
          <cell r="Q1319">
            <v>0</v>
          </cell>
        </row>
        <row r="1320">
          <cell r="D1320" t="str">
            <v>Band Knife Machine Belt</v>
          </cell>
          <cell r="Q1320">
            <v>0</v>
          </cell>
        </row>
        <row r="1321">
          <cell r="D1321" t="str">
            <v>Band Knife Machine Grinding Stone</v>
          </cell>
          <cell r="Q1321">
            <v>0</v>
          </cell>
        </row>
        <row r="1322">
          <cell r="D1322" t="str">
            <v>Battery for Metal Detector M/C</v>
          </cell>
          <cell r="Q1322">
            <v>0</v>
          </cell>
        </row>
        <row r="1323">
          <cell r="D1323" t="str">
            <v>Battleneck Board-10"x12"</v>
          </cell>
          <cell r="Q1323">
            <v>10</v>
          </cell>
        </row>
        <row r="1324">
          <cell r="D1324" t="str">
            <v>Bedoly Machine Pressur Feet</v>
          </cell>
          <cell r="Q1324">
            <v>7</v>
          </cell>
        </row>
        <row r="1325">
          <cell r="D1325" t="str">
            <v>C/M Cam Spring</v>
          </cell>
          <cell r="Q1325">
            <v>2</v>
          </cell>
        </row>
        <row r="1326">
          <cell r="D1326" t="str">
            <v>C/M Croo Set</v>
          </cell>
          <cell r="Q1326">
            <v>1</v>
          </cell>
        </row>
        <row r="1327">
          <cell r="D1327" t="str">
            <v>C/M Cutting Point Pully</v>
          </cell>
          <cell r="Q1327">
            <v>5</v>
          </cell>
        </row>
        <row r="1328">
          <cell r="D1328" t="str">
            <v>C/M Cutting Point Pully Rubber</v>
          </cell>
          <cell r="Q1328">
            <v>10</v>
          </cell>
        </row>
        <row r="1329">
          <cell r="D1329" t="str">
            <v>C/M Idle Gear with Bearing Set</v>
          </cell>
          <cell r="Q1329">
            <v>2</v>
          </cell>
        </row>
        <row r="1330">
          <cell r="D1330" t="str">
            <v>C/M Pressure Feet</v>
          </cell>
          <cell r="Q1330">
            <v>10</v>
          </cell>
        </row>
        <row r="1331">
          <cell r="D1331" t="str">
            <v>C/M Pressure Feet Bar</v>
          </cell>
          <cell r="Q1331">
            <v>0</v>
          </cell>
        </row>
        <row r="1332">
          <cell r="D1332" t="str">
            <v>C/M Pressure Feet Lock</v>
          </cell>
          <cell r="Q1332">
            <v>0</v>
          </cell>
        </row>
        <row r="1333">
          <cell r="D1333" t="str">
            <v>C/M Sharpner Shoe Spring</v>
          </cell>
          <cell r="Q1333">
            <v>10</v>
          </cell>
        </row>
        <row r="1334">
          <cell r="D1334" t="str">
            <v>C/M-R Spring</v>
          </cell>
          <cell r="Q1334">
            <v>20</v>
          </cell>
        </row>
        <row r="1335">
          <cell r="D1335" t="str">
            <v>C/S Folder Large- 1/4</v>
          </cell>
          <cell r="Q1335">
            <v>10</v>
          </cell>
        </row>
        <row r="1336">
          <cell r="D1336" t="str">
            <v>C/S Folder Medium- 1/4</v>
          </cell>
          <cell r="Q1336">
            <v>6</v>
          </cell>
        </row>
        <row r="1337">
          <cell r="D1337" t="str">
            <v>C/S Folder Small- 1/4</v>
          </cell>
          <cell r="Q1337">
            <v>10</v>
          </cell>
        </row>
        <row r="1338">
          <cell r="D1338" t="str">
            <v>C/S Machine 3 Needle Metal Guide -1/4 CL</v>
          </cell>
          <cell r="Q1338">
            <v>5</v>
          </cell>
        </row>
        <row r="1339">
          <cell r="D1339" t="str">
            <v>C/S Machine 3 Needle Metal Guide -1/4 CR</v>
          </cell>
          <cell r="Q1339">
            <v>5</v>
          </cell>
        </row>
        <row r="1340">
          <cell r="D1340" t="str">
            <v>C/S Machine 3 Needle Metal Plain Feet 1/4</v>
          </cell>
          <cell r="Q1340">
            <v>10</v>
          </cell>
        </row>
        <row r="1341">
          <cell r="D1341" t="str">
            <v>C/S Machine T/N Metal Guide -1/4 CL</v>
          </cell>
          <cell r="Q1341">
            <v>4</v>
          </cell>
        </row>
        <row r="1342">
          <cell r="D1342" t="str">
            <v>C/S Machine T/N Metal Guide -1/4 CR</v>
          </cell>
          <cell r="Q1342">
            <v>0</v>
          </cell>
        </row>
        <row r="1343">
          <cell r="D1343" t="str">
            <v>C/S Machine T/N Metal Plain Feet -1/4</v>
          </cell>
          <cell r="Q1343">
            <v>6</v>
          </cell>
        </row>
        <row r="1344">
          <cell r="D1344" t="str">
            <v>Cobja Clamp-6"</v>
          </cell>
          <cell r="Q1344">
            <v>0</v>
          </cell>
        </row>
        <row r="1345">
          <cell r="D1345" t="str">
            <v>Cobja Clamp-8"</v>
          </cell>
          <cell r="Q1345">
            <v>0</v>
          </cell>
        </row>
        <row r="1346">
          <cell r="D1346" t="str">
            <v>Collar Finish Pattern</v>
          </cell>
          <cell r="Q1346">
            <v>3</v>
          </cell>
        </row>
        <row r="1347">
          <cell r="D1347" t="str">
            <v>Combination Pliers-08"</v>
          </cell>
          <cell r="Q1347">
            <v>1</v>
          </cell>
        </row>
        <row r="1348">
          <cell r="D1348" t="str">
            <v>Combination Spanner-07mm</v>
          </cell>
          <cell r="Q1348">
            <v>0</v>
          </cell>
        </row>
        <row r="1349">
          <cell r="D1349" t="str">
            <v>Combination Spanner-08mm</v>
          </cell>
          <cell r="Q1349">
            <v>0</v>
          </cell>
        </row>
        <row r="1350">
          <cell r="D1350" t="str">
            <v>Combination Spanner-09mm</v>
          </cell>
          <cell r="Q1350">
            <v>12</v>
          </cell>
        </row>
        <row r="1351">
          <cell r="D1351" t="str">
            <v>Combination Spanner-10mm</v>
          </cell>
          <cell r="Q1351">
            <v>0</v>
          </cell>
        </row>
        <row r="1352">
          <cell r="D1352" t="str">
            <v>Combination Spanner-11mm</v>
          </cell>
          <cell r="Q1352">
            <v>0</v>
          </cell>
        </row>
        <row r="1353">
          <cell r="D1353" t="str">
            <v>Combination Spanner-14mm</v>
          </cell>
          <cell r="Q1353">
            <v>0</v>
          </cell>
        </row>
        <row r="1354">
          <cell r="D1354" t="str">
            <v>Combination Spanner-20-22mm</v>
          </cell>
          <cell r="Q1354">
            <v>1</v>
          </cell>
        </row>
        <row r="1355">
          <cell r="D1355" t="str">
            <v>Combination Spanner-6mm</v>
          </cell>
          <cell r="Q1355">
            <v>0</v>
          </cell>
        </row>
        <row r="1356">
          <cell r="D1356" t="str">
            <v>Combination Spanner-8-9mm</v>
          </cell>
          <cell r="Q1356">
            <v>17</v>
          </cell>
        </row>
        <row r="1357">
          <cell r="D1357" t="str">
            <v>Cutting Machine Base Palet</v>
          </cell>
          <cell r="Q1357">
            <v>1</v>
          </cell>
        </row>
        <row r="1358">
          <cell r="D1358" t="str">
            <v>Cutting Machine Knife Screw</v>
          </cell>
          <cell r="Q1358">
            <v>0</v>
          </cell>
        </row>
        <row r="1359">
          <cell r="D1359" t="str">
            <v>Cutting Machine Knife Silafer</v>
          </cell>
          <cell r="Q1359">
            <v>0</v>
          </cell>
        </row>
        <row r="1360">
          <cell r="D1360" t="str">
            <v>Cutting Machine Rubber Driver Pulley</v>
          </cell>
          <cell r="Q1360">
            <v>1</v>
          </cell>
        </row>
        <row r="1361">
          <cell r="D1361" t="str">
            <v>Cutting Plus-08"</v>
          </cell>
          <cell r="Q1361">
            <v>10</v>
          </cell>
        </row>
        <row r="1362">
          <cell r="D1362" t="str">
            <v>Daimond File (Rat)</v>
          </cell>
          <cell r="Q1362">
            <v>3</v>
          </cell>
        </row>
        <row r="1363">
          <cell r="D1363" t="str">
            <v>Digital Multimeter-CD800A</v>
          </cell>
          <cell r="Q1363">
            <v>0</v>
          </cell>
        </row>
        <row r="1364">
          <cell r="D1364" t="str">
            <v>Distil Water</v>
          </cell>
          <cell r="Q1364">
            <v>0</v>
          </cell>
        </row>
        <row r="1365">
          <cell r="D1365" t="str">
            <v>Drawsting Device (0.5mm)</v>
          </cell>
          <cell r="Q1365">
            <v>0</v>
          </cell>
        </row>
        <row r="1366">
          <cell r="D1366" t="str">
            <v>Drowisting Bais Stan Ring</v>
          </cell>
          <cell r="Q1366">
            <v>0</v>
          </cell>
        </row>
        <row r="1367">
          <cell r="D1367" t="str">
            <v>Drowisting Folder-30mm-15mm</v>
          </cell>
          <cell r="Q1367">
            <v>2</v>
          </cell>
        </row>
        <row r="1368">
          <cell r="D1368" t="str">
            <v>Durable Wrench-7 Pieces</v>
          </cell>
          <cell r="Q1368">
            <v>6</v>
          </cell>
        </row>
        <row r="1369">
          <cell r="D1369" t="str">
            <v>E/H Hammer-12mm(Juki)</v>
          </cell>
          <cell r="Q1369">
            <v>1</v>
          </cell>
        </row>
        <row r="1370">
          <cell r="D1370" t="str">
            <v>E/H Hammer-14mm(Brother)</v>
          </cell>
          <cell r="Q1370">
            <v>3</v>
          </cell>
        </row>
        <row r="1371">
          <cell r="D1371" t="str">
            <v>E/H Hammer-14mm(Juki)</v>
          </cell>
          <cell r="Q1371">
            <v>2</v>
          </cell>
        </row>
        <row r="1372">
          <cell r="D1372" t="str">
            <v>E/H Hammer-16mm(Brother)</v>
          </cell>
          <cell r="Q1372">
            <v>3</v>
          </cell>
        </row>
        <row r="1373">
          <cell r="D1373" t="str">
            <v>E/H Hammer-16mm(Juki)</v>
          </cell>
          <cell r="Q1373">
            <v>2</v>
          </cell>
        </row>
        <row r="1374">
          <cell r="D1374" t="str">
            <v>E/H Hammer-18mm(Brother)</v>
          </cell>
          <cell r="Q1374">
            <v>3</v>
          </cell>
        </row>
        <row r="1375">
          <cell r="D1375" t="str">
            <v>E/H Hammer-18mm(Juki)</v>
          </cell>
          <cell r="Q1375">
            <v>1</v>
          </cell>
        </row>
        <row r="1376">
          <cell r="D1376" t="str">
            <v>E/H Hammer-20mm(Brother)</v>
          </cell>
          <cell r="Q1376">
            <v>2</v>
          </cell>
        </row>
        <row r="1377">
          <cell r="D1377" t="str">
            <v>E/H Hammer-20mm(Juki)</v>
          </cell>
          <cell r="Q1377">
            <v>1</v>
          </cell>
        </row>
        <row r="1378">
          <cell r="D1378" t="str">
            <v>E/H Hammer-22mm(Brother)</v>
          </cell>
          <cell r="Q1378">
            <v>3</v>
          </cell>
        </row>
        <row r="1379">
          <cell r="D1379" t="str">
            <v>E/H Hammer-22mm(Juki)</v>
          </cell>
          <cell r="Q1379">
            <v>1</v>
          </cell>
        </row>
        <row r="1380">
          <cell r="D1380" t="str">
            <v>E/H Hammer-24mm(Brother)</v>
          </cell>
          <cell r="Q1380">
            <v>4</v>
          </cell>
        </row>
        <row r="1381">
          <cell r="D1381" t="str">
            <v>E/H Hammer-24mm(Juki)</v>
          </cell>
          <cell r="Q1381">
            <v>2</v>
          </cell>
        </row>
        <row r="1382">
          <cell r="D1382" t="str">
            <v>E/H Hammer-26mm(Brother)</v>
          </cell>
          <cell r="Q1382">
            <v>4</v>
          </cell>
        </row>
        <row r="1383">
          <cell r="D1383" t="str">
            <v>E/H Hammer-26mm(Juki)</v>
          </cell>
          <cell r="Q1383">
            <v>2</v>
          </cell>
        </row>
        <row r="1384">
          <cell r="D1384" t="str">
            <v>E/H Hammer-28mm(Brother)</v>
          </cell>
          <cell r="Q1384">
            <v>8</v>
          </cell>
        </row>
        <row r="1385">
          <cell r="D1385" t="str">
            <v>E/H Hammer-28mm(Juki)</v>
          </cell>
          <cell r="Q1385">
            <v>2</v>
          </cell>
        </row>
        <row r="1386">
          <cell r="D1386" t="str">
            <v>E/H Thread Cutting Knife</v>
          </cell>
          <cell r="Q1386">
            <v>8</v>
          </cell>
        </row>
        <row r="1387">
          <cell r="D1387" t="str">
            <v>End Cutter Machine Knife</v>
          </cell>
          <cell r="Q1387">
            <v>25</v>
          </cell>
        </row>
        <row r="1388">
          <cell r="D1388" t="str">
            <v>End Cutter Machine Lower Knife</v>
          </cell>
          <cell r="Q1388">
            <v>8</v>
          </cell>
        </row>
        <row r="1389">
          <cell r="D1389" t="str">
            <v>Eyelet Button Mould</v>
          </cell>
          <cell r="Q1389">
            <v>1</v>
          </cell>
        </row>
        <row r="1390">
          <cell r="D1390" t="str">
            <v>F/A Machine Lopper Shape</v>
          </cell>
          <cell r="Q1390">
            <v>0</v>
          </cell>
        </row>
        <row r="1391">
          <cell r="D1391" t="str">
            <v>F/L 4Folding Loop Folder-28mm-10mm</v>
          </cell>
          <cell r="Q1391">
            <v>0</v>
          </cell>
        </row>
        <row r="1392">
          <cell r="D1392" t="str">
            <v>F/L Loop Folder-24mm-12mm</v>
          </cell>
          <cell r="Q1392">
            <v>0</v>
          </cell>
        </row>
        <row r="1393">
          <cell r="D1393" t="str">
            <v>F/L Loop Folder-34mm-12mm</v>
          </cell>
          <cell r="Q1393">
            <v>0</v>
          </cell>
        </row>
        <row r="1394">
          <cell r="D1394" t="str">
            <v>F/L Machine Needle Screw</v>
          </cell>
          <cell r="Q1394">
            <v>0</v>
          </cell>
        </row>
        <row r="1395">
          <cell r="D1395" t="str">
            <v>F/L Machine Palet Screw</v>
          </cell>
          <cell r="Q1395">
            <v>4</v>
          </cell>
        </row>
        <row r="1396">
          <cell r="D1396" t="str">
            <v>F/L Machine Pressure Feet</v>
          </cell>
          <cell r="Q1396">
            <v>13</v>
          </cell>
        </row>
        <row r="1397">
          <cell r="D1397" t="str">
            <v>F/L Machine Pressure Feet Nose</v>
          </cell>
          <cell r="Q1397">
            <v>30</v>
          </cell>
        </row>
        <row r="1398">
          <cell r="D1398" t="str">
            <v>Feet Of The Arm Folder -1/4( Large)</v>
          </cell>
          <cell r="Q1398">
            <v>4</v>
          </cell>
        </row>
        <row r="1399">
          <cell r="D1399" t="str">
            <v>Feet Of The Arm Folder -1/4( Medium)</v>
          </cell>
          <cell r="Q1399">
            <v>5</v>
          </cell>
        </row>
        <row r="1400">
          <cell r="D1400" t="str">
            <v>Feet Of The Arm Folder -1/4( Small)</v>
          </cell>
          <cell r="Q1400">
            <v>5</v>
          </cell>
        </row>
        <row r="1401">
          <cell r="D1401" t="str">
            <v>Fire Door Closers</v>
          </cell>
          <cell r="Q1401">
            <v>2</v>
          </cell>
        </row>
        <row r="1402">
          <cell r="D1402" t="str">
            <v>Fire Door Trim Lock</v>
          </cell>
          <cell r="Q1402">
            <v>0</v>
          </cell>
        </row>
        <row r="1403">
          <cell r="D1403" t="str">
            <v>Flat Driver -10"</v>
          </cell>
          <cell r="Q1403">
            <v>0</v>
          </cell>
        </row>
        <row r="1404">
          <cell r="D1404" t="str">
            <v>Flat Screw Driver-12"</v>
          </cell>
          <cell r="Q1404">
            <v>0</v>
          </cell>
        </row>
        <row r="1405">
          <cell r="D1405" t="str">
            <v>Flat Screw Driver-14"</v>
          </cell>
          <cell r="Q1405">
            <v>0</v>
          </cell>
        </row>
        <row r="1406">
          <cell r="D1406" t="str">
            <v>Flat Screw Driver-16"</v>
          </cell>
          <cell r="Q1406">
            <v>5</v>
          </cell>
        </row>
        <row r="1407">
          <cell r="D1407" t="str">
            <v>GA Tar-03mm</v>
          </cell>
          <cell r="Q1407">
            <v>1.5</v>
          </cell>
        </row>
        <row r="1408">
          <cell r="D1408" t="str">
            <v>GA Tar-2.5mm</v>
          </cell>
          <cell r="Q1408">
            <v>2</v>
          </cell>
        </row>
        <row r="1409">
          <cell r="D1409" t="str">
            <v>Gear Oil</v>
          </cell>
          <cell r="Q1409">
            <v>0</v>
          </cell>
        </row>
        <row r="1410">
          <cell r="D1410" t="str">
            <v>Glass Wheel</v>
          </cell>
          <cell r="Q1410">
            <v>0</v>
          </cell>
        </row>
        <row r="1411">
          <cell r="D1411" t="str">
            <v>Grease-500gm</v>
          </cell>
          <cell r="Q1411">
            <v>5</v>
          </cell>
        </row>
        <row r="1412">
          <cell r="D1412" t="str">
            <v>Hanger Loop Folder-33mm-9mm</v>
          </cell>
          <cell r="Q1412">
            <v>0</v>
          </cell>
        </row>
        <row r="1413">
          <cell r="D1413" t="str">
            <v>Hexo Blade</v>
          </cell>
          <cell r="Q1413">
            <v>18</v>
          </cell>
        </row>
        <row r="1414">
          <cell r="D1414" t="str">
            <v>Hook Button Mould</v>
          </cell>
          <cell r="Q1414">
            <v>0</v>
          </cell>
        </row>
        <row r="1415">
          <cell r="D1415" t="str">
            <v>Iron Folder-145mm-48/58mm</v>
          </cell>
          <cell r="Q1415">
            <v>1</v>
          </cell>
        </row>
        <row r="1416">
          <cell r="D1416" t="str">
            <v>K/S machine 3-Stape Piping Folder</v>
          </cell>
          <cell r="Q1416">
            <v>0</v>
          </cell>
        </row>
        <row r="1417">
          <cell r="D1417" t="str">
            <v>K/S Machine Gauge Set-17 Needle</v>
          </cell>
          <cell r="Q1417">
            <v>3</v>
          </cell>
        </row>
        <row r="1418">
          <cell r="D1418" t="str">
            <v>K/S Machine Gauge Set-23 needle</v>
          </cell>
          <cell r="Q1418">
            <v>0</v>
          </cell>
        </row>
        <row r="1419">
          <cell r="D1419" t="str">
            <v>K/S Machine Looper- Big</v>
          </cell>
          <cell r="Q1419">
            <v>21</v>
          </cell>
        </row>
        <row r="1420">
          <cell r="D1420" t="str">
            <v>K/S Machine Looper- Medium</v>
          </cell>
          <cell r="Q1420">
            <v>40</v>
          </cell>
        </row>
        <row r="1421">
          <cell r="D1421" t="str">
            <v>K/S Machine Looper- Small</v>
          </cell>
          <cell r="Q1421">
            <v>16</v>
          </cell>
        </row>
        <row r="1422">
          <cell r="D1422" t="str">
            <v>K/S Machine Retainer</v>
          </cell>
          <cell r="Q1422">
            <v>57</v>
          </cell>
        </row>
        <row r="1423">
          <cell r="D1423" t="str">
            <v>K/S Machine Roller Set(Small)</v>
          </cell>
          <cell r="Q1423">
            <v>4</v>
          </cell>
        </row>
        <row r="1424">
          <cell r="D1424" t="str">
            <v>K/S Palet Screw</v>
          </cell>
          <cell r="Q1424">
            <v>20</v>
          </cell>
        </row>
        <row r="1425">
          <cell r="D1425" t="str">
            <v>K/S Roller-Big</v>
          </cell>
          <cell r="Q1425">
            <v>7</v>
          </cell>
        </row>
        <row r="1426">
          <cell r="D1426" t="str">
            <v>K/S Roller-Small</v>
          </cell>
          <cell r="Q1426">
            <v>9</v>
          </cell>
        </row>
        <row r="1427">
          <cell r="D1427" t="str">
            <v>L Key Set</v>
          </cell>
          <cell r="Q1427">
            <v>4</v>
          </cell>
        </row>
        <row r="1428">
          <cell r="D1428" t="str">
            <v>Loop Folder-24mm-10mm</v>
          </cell>
          <cell r="Q1428">
            <v>0</v>
          </cell>
        </row>
        <row r="1429">
          <cell r="D1429" t="str">
            <v>Machine Numbering Board</v>
          </cell>
          <cell r="Q1429">
            <v>33</v>
          </cell>
        </row>
        <row r="1430">
          <cell r="D1430" t="str">
            <v>Machine Numbering Ring</v>
          </cell>
          <cell r="Q1430">
            <v>0</v>
          </cell>
        </row>
        <row r="1431">
          <cell r="D1431" t="str">
            <v>Machine Numbering-(10 cm)</v>
          </cell>
          <cell r="Q1431">
            <v>0</v>
          </cell>
        </row>
        <row r="1432">
          <cell r="D1432" t="str">
            <v>Machine Numbering-(12 cm)</v>
          </cell>
          <cell r="Q1432">
            <v>0</v>
          </cell>
        </row>
        <row r="1433">
          <cell r="D1433" t="str">
            <v>Machine Oil</v>
          </cell>
          <cell r="Q1433">
            <v>0</v>
          </cell>
        </row>
        <row r="1434">
          <cell r="D1434" t="str">
            <v>Machine Oil-32 Grade</v>
          </cell>
          <cell r="Q1434">
            <v>0</v>
          </cell>
        </row>
        <row r="1435">
          <cell r="D1435" t="str">
            <v>Machine Sticker</v>
          </cell>
          <cell r="Q1435">
            <v>0</v>
          </cell>
        </row>
        <row r="1436">
          <cell r="D1436" t="str">
            <v>Magnet Guide</v>
          </cell>
          <cell r="Q1436">
            <v>34</v>
          </cell>
        </row>
        <row r="1437">
          <cell r="D1437" t="str">
            <v>Mobil</v>
          </cell>
          <cell r="Q1437">
            <v>2</v>
          </cell>
        </row>
        <row r="1438">
          <cell r="D1438" t="str">
            <v>N/F Machine Fixed Knife</v>
          </cell>
          <cell r="Q1438">
            <v>41</v>
          </cell>
        </row>
        <row r="1439">
          <cell r="D1439" t="str">
            <v>N/F Machine Knife Patty</v>
          </cell>
          <cell r="Q1439">
            <v>20</v>
          </cell>
        </row>
        <row r="1440">
          <cell r="D1440" t="str">
            <v>N/F Machine Moving Knife</v>
          </cell>
          <cell r="Q1440">
            <v>10</v>
          </cell>
        </row>
        <row r="1441">
          <cell r="D1441" t="str">
            <v>N/F Machine Needle Palet Havy</v>
          </cell>
          <cell r="Q1441">
            <v>7</v>
          </cell>
        </row>
        <row r="1442">
          <cell r="D1442" t="str">
            <v>Needle Allen Key</v>
          </cell>
          <cell r="Q1442">
            <v>8</v>
          </cell>
        </row>
        <row r="1443">
          <cell r="D1443" t="str">
            <v>Needle Pass Machine Calibration Card 1.2</v>
          </cell>
          <cell r="Q1443">
            <v>0</v>
          </cell>
        </row>
        <row r="1444">
          <cell r="D1444" t="str">
            <v>Needle Pass Machine Calibration Card 1.5</v>
          </cell>
          <cell r="Q1444">
            <v>0</v>
          </cell>
        </row>
        <row r="1445">
          <cell r="D1445" t="str">
            <v xml:space="preserve">Nekto Tape </v>
          </cell>
          <cell r="Q1445">
            <v>8</v>
          </cell>
        </row>
        <row r="1446">
          <cell r="D1446" t="str">
            <v>Nose Plus-08"</v>
          </cell>
          <cell r="Q1446">
            <v>4</v>
          </cell>
        </row>
        <row r="1447">
          <cell r="D1447" t="str">
            <v>O/L Allowance Guide</v>
          </cell>
          <cell r="Q1447">
            <v>28</v>
          </cell>
        </row>
        <row r="1448">
          <cell r="D1448" t="str">
            <v>O/L Chain Looper</v>
          </cell>
          <cell r="Q1448">
            <v>9</v>
          </cell>
        </row>
        <row r="1449">
          <cell r="D1449" t="str">
            <v xml:space="preserve">O/L Feet Dog -5th Thread </v>
          </cell>
          <cell r="Q1449">
            <v>5</v>
          </cell>
        </row>
        <row r="1450">
          <cell r="D1450" t="str">
            <v>O/L Foust Looper</v>
          </cell>
          <cell r="Q1450">
            <v>0</v>
          </cell>
        </row>
        <row r="1451">
          <cell r="D1451" t="str">
            <v>O/L Gauge Set-4th Thread</v>
          </cell>
          <cell r="Q1451">
            <v>20</v>
          </cell>
        </row>
        <row r="1452">
          <cell r="D1452" t="str">
            <v>O/L Gauge Set-5th Thread</v>
          </cell>
          <cell r="Q1452">
            <v>16</v>
          </cell>
        </row>
        <row r="1453">
          <cell r="D1453" t="str">
            <v>O/L Knife With Patti-Heavy</v>
          </cell>
          <cell r="Q1453">
            <v>8</v>
          </cell>
        </row>
        <row r="1454">
          <cell r="D1454" t="str">
            <v>O/L Knife With Patti-Light</v>
          </cell>
          <cell r="Q1454">
            <v>8</v>
          </cell>
        </row>
        <row r="1455">
          <cell r="D1455" t="str">
            <v xml:space="preserve">O/L Lower Knife </v>
          </cell>
          <cell r="Q1455">
            <v>20</v>
          </cell>
        </row>
        <row r="1456">
          <cell r="D1456" t="str">
            <v>O/L Lower Looper</v>
          </cell>
          <cell r="Q1456">
            <v>22</v>
          </cell>
        </row>
        <row r="1457">
          <cell r="D1457" t="str">
            <v>O/L Needle Feet Screw</v>
          </cell>
          <cell r="Q1457">
            <v>0</v>
          </cell>
        </row>
        <row r="1458">
          <cell r="D1458" t="str">
            <v>O/L Needle Palet-5th</v>
          </cell>
          <cell r="Q1458">
            <v>0</v>
          </cell>
        </row>
        <row r="1459">
          <cell r="D1459" t="str">
            <v>O/L Needle Screw</v>
          </cell>
          <cell r="Q1459">
            <v>152</v>
          </cell>
        </row>
        <row r="1460">
          <cell r="D1460" t="str">
            <v>O/L Oil Filter</v>
          </cell>
          <cell r="Q1460">
            <v>49</v>
          </cell>
        </row>
        <row r="1461">
          <cell r="D1461" t="str">
            <v>O/L pressur feet bar</v>
          </cell>
          <cell r="Q1461">
            <v>5</v>
          </cell>
        </row>
        <row r="1462">
          <cell r="D1462" t="str">
            <v>O/L Pressure Feet-4th</v>
          </cell>
          <cell r="Q1462">
            <v>32</v>
          </cell>
        </row>
        <row r="1463">
          <cell r="D1463" t="str">
            <v>O/L Pressure Feet-5th</v>
          </cell>
          <cell r="Q1463">
            <v>20</v>
          </cell>
        </row>
        <row r="1464">
          <cell r="D1464" t="str">
            <v>O/L Thread Cutter Knife</v>
          </cell>
          <cell r="Q1464">
            <v>20</v>
          </cell>
        </row>
        <row r="1465">
          <cell r="D1465" t="str">
            <v>O/L Upper Knife</v>
          </cell>
          <cell r="Q1465">
            <v>12</v>
          </cell>
        </row>
        <row r="1466">
          <cell r="D1466" t="str">
            <v>O/L Upper Looper</v>
          </cell>
          <cell r="Q1466">
            <v>7</v>
          </cell>
        </row>
        <row r="1467">
          <cell r="D1467" t="str">
            <v>P/M 2Part Join Folder-8mm</v>
          </cell>
          <cell r="Q1467">
            <v>1</v>
          </cell>
        </row>
        <row r="1468">
          <cell r="D1468" t="str">
            <v>P/M Auto Bobbin Winder</v>
          </cell>
          <cell r="Q1468">
            <v>26</v>
          </cell>
        </row>
        <row r="1469">
          <cell r="D1469" t="str">
            <v xml:space="preserve">P/M Auto Bobbin Winder Rubber </v>
          </cell>
          <cell r="Q1469">
            <v>19</v>
          </cell>
        </row>
        <row r="1470">
          <cell r="D1470" t="str">
            <v>P/M Binding Folder-22mm-10mm</v>
          </cell>
          <cell r="Q1470">
            <v>9</v>
          </cell>
        </row>
        <row r="1471">
          <cell r="D1471" t="str">
            <v>P/M Binding Folder-24mm-10mm</v>
          </cell>
          <cell r="Q1471">
            <v>13</v>
          </cell>
        </row>
        <row r="1472">
          <cell r="D1472" t="str">
            <v>P/M Binding Folder-26mm-10mm</v>
          </cell>
          <cell r="Q1472">
            <v>13</v>
          </cell>
        </row>
        <row r="1473">
          <cell r="D1473" t="str">
            <v>P/M Binding Folder-28mm-10mm</v>
          </cell>
          <cell r="Q1473">
            <v>16</v>
          </cell>
        </row>
        <row r="1474">
          <cell r="D1474" t="str">
            <v>P/M Binding Folder-30mm-10mm</v>
          </cell>
          <cell r="Q1474">
            <v>23</v>
          </cell>
        </row>
        <row r="1475">
          <cell r="D1475" t="str">
            <v>P/M Binding Folder-32mm-10mm</v>
          </cell>
          <cell r="Q1475">
            <v>50</v>
          </cell>
        </row>
        <row r="1476">
          <cell r="D1476" t="str">
            <v>P/M Binding Folder-34mm-10mm</v>
          </cell>
          <cell r="Q1476">
            <v>6</v>
          </cell>
        </row>
        <row r="1477">
          <cell r="D1477" t="str">
            <v>P/M Binding Folder-36mm-10mm</v>
          </cell>
          <cell r="Q1477">
            <v>10</v>
          </cell>
        </row>
        <row r="1478">
          <cell r="D1478" t="str">
            <v>P/M Binding Folder-38mm-10mm</v>
          </cell>
          <cell r="Q1478">
            <v>10</v>
          </cell>
        </row>
        <row r="1479">
          <cell r="D1479" t="str">
            <v>P/M Binding Folder-40mm-10mm</v>
          </cell>
          <cell r="Q1479">
            <v>10</v>
          </cell>
        </row>
        <row r="1480">
          <cell r="D1480" t="str">
            <v>P/M Bobbin Case</v>
          </cell>
          <cell r="Q1480">
            <v>50</v>
          </cell>
        </row>
        <row r="1481">
          <cell r="D1481" t="str">
            <v>P/M Bobbin Case Patti</v>
          </cell>
          <cell r="Q1481">
            <v>170</v>
          </cell>
        </row>
        <row r="1482">
          <cell r="D1482" t="str">
            <v>P/M Bobbin Case Screw-Large</v>
          </cell>
          <cell r="Q1482">
            <v>97</v>
          </cell>
        </row>
        <row r="1483">
          <cell r="D1483" t="str">
            <v>P/M Bobbin Case Screw-Small</v>
          </cell>
          <cell r="Q1483">
            <v>79</v>
          </cell>
        </row>
        <row r="1484">
          <cell r="D1484" t="str">
            <v>P/M Bobbin Case Spring</v>
          </cell>
          <cell r="Q1484">
            <v>57</v>
          </cell>
        </row>
        <row r="1485">
          <cell r="D1485" t="str">
            <v xml:space="preserve">P/M Fabring Guide </v>
          </cell>
          <cell r="Q1485">
            <v>1</v>
          </cell>
        </row>
        <row r="1486">
          <cell r="D1486" t="str">
            <v>P/M Face Cover Rubber</v>
          </cell>
          <cell r="Q1486">
            <v>0</v>
          </cell>
        </row>
        <row r="1487">
          <cell r="D1487" t="str">
            <v>P/M Fixed Knife</v>
          </cell>
          <cell r="Q1487">
            <v>5</v>
          </cell>
        </row>
        <row r="1488">
          <cell r="D1488" t="str">
            <v>P/M Gauge Set- 05 Line</v>
          </cell>
          <cell r="Q1488">
            <v>5</v>
          </cell>
        </row>
        <row r="1489">
          <cell r="D1489" t="str">
            <v>P/M Guide Screw</v>
          </cell>
          <cell r="Q1489">
            <v>471</v>
          </cell>
        </row>
        <row r="1490">
          <cell r="D1490" t="str">
            <v>P/M Hanger Loop Folder-26mm-07mm</v>
          </cell>
          <cell r="Q1490">
            <v>3</v>
          </cell>
        </row>
        <row r="1491">
          <cell r="D1491" t="str">
            <v>P/M Hanger Loop Gamble Folder-37mm-10mm</v>
          </cell>
          <cell r="Q1491">
            <v>1</v>
          </cell>
        </row>
        <row r="1492">
          <cell r="D1492" t="str">
            <v>P/M Heavy Set-26</v>
          </cell>
          <cell r="Q1492">
            <v>3</v>
          </cell>
        </row>
        <row r="1493">
          <cell r="D1493" t="str">
            <v>P/M Hemming Folder-3/8</v>
          </cell>
          <cell r="Q1493">
            <v>0</v>
          </cell>
        </row>
        <row r="1494">
          <cell r="D1494" t="str">
            <v>P/M Hemming Folder-3/9</v>
          </cell>
          <cell r="Q1494">
            <v>3</v>
          </cell>
        </row>
        <row r="1495">
          <cell r="D1495" t="str">
            <v>P/M Hook Guide</v>
          </cell>
          <cell r="Q1495">
            <v>10</v>
          </cell>
        </row>
        <row r="1496">
          <cell r="D1496" t="str">
            <v>P/M Metal Binding Roller Guide</v>
          </cell>
          <cell r="Q1496">
            <v>24</v>
          </cell>
        </row>
        <row r="1497">
          <cell r="D1497" t="str">
            <v xml:space="preserve">P/M Metal Feet Dog-2.5 </v>
          </cell>
          <cell r="Q1497">
            <v>32</v>
          </cell>
        </row>
        <row r="1498">
          <cell r="D1498" t="str">
            <v>P/M Metal Feet Dog-53</v>
          </cell>
          <cell r="Q1498">
            <v>299</v>
          </cell>
        </row>
        <row r="1499">
          <cell r="D1499" t="str">
            <v>P/M Metal Feet Dog-57</v>
          </cell>
          <cell r="Q1499">
            <v>111</v>
          </cell>
        </row>
        <row r="1500">
          <cell r="D1500" t="str">
            <v>P/M Metal Pressur Regulator</v>
          </cell>
          <cell r="Q1500">
            <v>10</v>
          </cell>
        </row>
        <row r="1501">
          <cell r="D1501" t="str">
            <v>P/M Moving Knife</v>
          </cell>
          <cell r="Q1501">
            <v>3</v>
          </cell>
        </row>
        <row r="1502">
          <cell r="D1502" t="str">
            <v>P/M Needle Bar Thread Guide</v>
          </cell>
          <cell r="Q1502">
            <v>26</v>
          </cell>
        </row>
        <row r="1503">
          <cell r="D1503" t="str">
            <v>P/M Needle Palet+Feet Dog-2.5</v>
          </cell>
          <cell r="Q1503">
            <v>20</v>
          </cell>
        </row>
        <row r="1504">
          <cell r="D1504" t="str">
            <v>P/M Needle Palet-12</v>
          </cell>
          <cell r="Q1504">
            <v>142</v>
          </cell>
        </row>
        <row r="1505">
          <cell r="D1505" t="str">
            <v>P/M Needle Palet-14</v>
          </cell>
          <cell r="Q1505">
            <v>33</v>
          </cell>
        </row>
        <row r="1506">
          <cell r="D1506" t="str">
            <v>P/M Needle Palet-16</v>
          </cell>
          <cell r="Q1506">
            <v>93</v>
          </cell>
        </row>
        <row r="1507">
          <cell r="D1507" t="str">
            <v>P/M Needle Palet-18</v>
          </cell>
          <cell r="Q1507">
            <v>23</v>
          </cell>
        </row>
        <row r="1508">
          <cell r="D1508" t="str">
            <v>P/M Needle Palet-20</v>
          </cell>
          <cell r="Q1508">
            <v>73</v>
          </cell>
        </row>
        <row r="1509">
          <cell r="D1509" t="str">
            <v>P/M Needle Palet-22</v>
          </cell>
          <cell r="Q1509">
            <v>34</v>
          </cell>
        </row>
        <row r="1510">
          <cell r="D1510" t="str">
            <v>P/M Needle Palet-24</v>
          </cell>
          <cell r="Q1510">
            <v>10</v>
          </cell>
        </row>
        <row r="1511">
          <cell r="D1511" t="str">
            <v>P/M Needle Palet-26</v>
          </cell>
          <cell r="Q1511">
            <v>14</v>
          </cell>
        </row>
        <row r="1512">
          <cell r="D1512" t="str">
            <v>P/M Needle Palet-28</v>
          </cell>
          <cell r="Q1512">
            <v>20</v>
          </cell>
        </row>
        <row r="1513">
          <cell r="D1513" t="str">
            <v>P/M Needle Safety Guard</v>
          </cell>
          <cell r="Q1513">
            <v>702</v>
          </cell>
        </row>
        <row r="1514">
          <cell r="D1514" t="str">
            <v>P/M Needle Screw</v>
          </cell>
          <cell r="Q1514">
            <v>10</v>
          </cell>
        </row>
        <row r="1515">
          <cell r="D1515" t="str">
            <v>P/M Oill Cap</v>
          </cell>
          <cell r="Q1515">
            <v>9</v>
          </cell>
        </row>
        <row r="1516">
          <cell r="D1516" t="str">
            <v>P/M Palet Screw</v>
          </cell>
          <cell r="Q1516">
            <v>150</v>
          </cell>
        </row>
        <row r="1517">
          <cell r="D1517" t="str">
            <v>P/M PCB Card</v>
          </cell>
          <cell r="Q1517">
            <v>22</v>
          </cell>
        </row>
        <row r="1518">
          <cell r="D1518" t="str">
            <v>P/M Piping Folder-16mm</v>
          </cell>
          <cell r="Q1518">
            <v>2</v>
          </cell>
        </row>
        <row r="1519">
          <cell r="D1519" t="str">
            <v>P/M Piping Folder-32mm-8mm</v>
          </cell>
          <cell r="Q1519">
            <v>1</v>
          </cell>
        </row>
        <row r="1520">
          <cell r="D1520" t="str">
            <v>P/M Plastic Binding Roller Guide</v>
          </cell>
          <cell r="Q1520">
            <v>91</v>
          </cell>
        </row>
        <row r="1521">
          <cell r="D1521" t="str">
            <v>P/M Plastic Drawsting Drwn Guide CL</v>
          </cell>
          <cell r="Q1521">
            <v>39</v>
          </cell>
        </row>
        <row r="1522">
          <cell r="D1522" t="str">
            <v>P/M Plastic Drawsting Drwn Guide CR</v>
          </cell>
          <cell r="Q1522">
            <v>62</v>
          </cell>
        </row>
        <row r="1523">
          <cell r="D1523" t="str">
            <v>P/M Plastic Feet Dog-2.5 Line</v>
          </cell>
          <cell r="Q1523">
            <v>75</v>
          </cell>
        </row>
        <row r="1524">
          <cell r="D1524" t="str">
            <v>P/M Plastic Feet Dog-53</v>
          </cell>
          <cell r="Q1524">
            <v>68</v>
          </cell>
        </row>
        <row r="1525">
          <cell r="D1525" t="str">
            <v>P/M Plastic Feet Dog-Auto</v>
          </cell>
          <cell r="Q1525">
            <v>92</v>
          </cell>
        </row>
        <row r="1526">
          <cell r="D1526" t="str">
            <v>P/M Plastic Pressur Regulator</v>
          </cell>
          <cell r="Q1526">
            <v>16</v>
          </cell>
        </row>
        <row r="1527">
          <cell r="D1527" t="str">
            <v xml:space="preserve">P/M Plastic Roller  </v>
          </cell>
          <cell r="Q1527">
            <v>2</v>
          </cell>
        </row>
        <row r="1528">
          <cell r="D1528" t="str">
            <v>P/M Pressure Feet Spring</v>
          </cell>
          <cell r="Q1528">
            <v>9</v>
          </cell>
        </row>
        <row r="1529">
          <cell r="D1529" t="str">
            <v>P/M Roller Device</v>
          </cell>
          <cell r="Q1529">
            <v>5</v>
          </cell>
        </row>
        <row r="1530">
          <cell r="D1530" t="str">
            <v>P/M Rotary Hook</v>
          </cell>
          <cell r="Q1530">
            <v>3</v>
          </cell>
        </row>
        <row r="1531">
          <cell r="D1531" t="str">
            <v>P/M Sarkalep-3mm</v>
          </cell>
          <cell r="Q1531">
            <v>10</v>
          </cell>
        </row>
        <row r="1532">
          <cell r="D1532" t="str">
            <v>P/M Sarkalep-4mm</v>
          </cell>
          <cell r="Q1532">
            <v>10</v>
          </cell>
        </row>
        <row r="1533">
          <cell r="D1533" t="str">
            <v>P/M Sarkalep-5mm</v>
          </cell>
          <cell r="Q1533">
            <v>10</v>
          </cell>
        </row>
        <row r="1534">
          <cell r="D1534" t="str">
            <v>P/M Sarkalep-6mm</v>
          </cell>
          <cell r="Q1534">
            <v>8</v>
          </cell>
        </row>
        <row r="1535">
          <cell r="D1535" t="str">
            <v>P/M Sarkalep-8mm</v>
          </cell>
          <cell r="Q1535">
            <v>20</v>
          </cell>
        </row>
        <row r="1536">
          <cell r="D1536" t="str">
            <v>P/M SP Plastic Roller Guide 1/16 CL</v>
          </cell>
          <cell r="Q1536">
            <v>0</v>
          </cell>
        </row>
        <row r="1537">
          <cell r="D1537" t="str">
            <v>P/M SP Plastic Roller Guide 1/16 CR</v>
          </cell>
          <cell r="Q1537">
            <v>0</v>
          </cell>
        </row>
        <row r="1538">
          <cell r="D1538" t="str">
            <v>P/M SP Plastic Roller Guide 1/4 CL</v>
          </cell>
          <cell r="Q1538">
            <v>7</v>
          </cell>
        </row>
        <row r="1539">
          <cell r="D1539" t="str">
            <v>P/M SP Plastic Roller Guide 1/4 CR</v>
          </cell>
          <cell r="Q1539">
            <v>5</v>
          </cell>
        </row>
        <row r="1540">
          <cell r="D1540" t="str">
            <v>P/M SP Plastic Roller Guide 1/8 CL</v>
          </cell>
          <cell r="Q1540">
            <v>5</v>
          </cell>
        </row>
        <row r="1541">
          <cell r="D1541" t="str">
            <v>P/M SP Plastic Roller Guide 1/8 CR</v>
          </cell>
          <cell r="Q1541">
            <v>5</v>
          </cell>
        </row>
        <row r="1542">
          <cell r="D1542" t="str">
            <v>P/M Take-up Spring</v>
          </cell>
          <cell r="Q1542">
            <v>95</v>
          </cell>
        </row>
        <row r="1543">
          <cell r="D1543" t="str">
            <v>P/M Tension Pust</v>
          </cell>
          <cell r="Q1543">
            <v>9</v>
          </cell>
        </row>
        <row r="1544">
          <cell r="D1544" t="str">
            <v>P/M Tension Pust-Big</v>
          </cell>
          <cell r="Q1544">
            <v>3</v>
          </cell>
        </row>
        <row r="1545">
          <cell r="D1545" t="str">
            <v>P/M Tentop Folder-24mm-7mm</v>
          </cell>
          <cell r="Q1545">
            <v>4</v>
          </cell>
        </row>
        <row r="1546">
          <cell r="D1546" t="str">
            <v>P/M Thread Guide Knife</v>
          </cell>
          <cell r="Q1546">
            <v>18</v>
          </cell>
        </row>
        <row r="1547">
          <cell r="D1547" t="str">
            <v>P/M Zikset</v>
          </cell>
          <cell r="Q1547">
            <v>31</v>
          </cell>
        </row>
        <row r="1548">
          <cell r="D1548" t="str">
            <v>Piping Stand</v>
          </cell>
          <cell r="Q1548">
            <v>1</v>
          </cell>
        </row>
        <row r="1549">
          <cell r="D1549" t="str">
            <v>Quilting Machine Base Plate Additional Set</v>
          </cell>
          <cell r="Q1549">
            <v>0</v>
          </cell>
        </row>
        <row r="1550">
          <cell r="D1550" t="str">
            <v>Re cone Machine Vous</v>
          </cell>
          <cell r="Q1550">
            <v>1</v>
          </cell>
        </row>
        <row r="1551">
          <cell r="D1551" t="str">
            <v>Report Stand</v>
          </cell>
          <cell r="Q1551">
            <v>35</v>
          </cell>
        </row>
        <row r="1552">
          <cell r="D1552" t="str">
            <v>Rivet Button Mould</v>
          </cell>
          <cell r="Q1552">
            <v>1</v>
          </cell>
        </row>
        <row r="1553">
          <cell r="D1553" t="str">
            <v>Saikle Spoke</v>
          </cell>
          <cell r="Q1553">
            <v>17</v>
          </cell>
        </row>
        <row r="1554">
          <cell r="D1554" t="str">
            <v>Selai Wrench-08"</v>
          </cell>
          <cell r="Q1554">
            <v>0</v>
          </cell>
        </row>
        <row r="1555">
          <cell r="D1555" t="str">
            <v>Selai Wrench-10"</v>
          </cell>
          <cell r="Q1555">
            <v>4</v>
          </cell>
        </row>
        <row r="1556">
          <cell r="D1556" t="str">
            <v>Shank Button Mould</v>
          </cell>
          <cell r="Q1556">
            <v>0</v>
          </cell>
        </row>
        <row r="1557">
          <cell r="D1557" t="str">
            <v>Sharp Tool Box- 13"</v>
          </cell>
          <cell r="Q1557">
            <v>7</v>
          </cell>
        </row>
        <row r="1558">
          <cell r="D1558" t="str">
            <v>Silicone Oil</v>
          </cell>
          <cell r="Q1558">
            <v>2</v>
          </cell>
        </row>
        <row r="1559">
          <cell r="D1559" t="str">
            <v>Snap Button Mould</v>
          </cell>
          <cell r="Q1559">
            <v>0</v>
          </cell>
        </row>
        <row r="1560">
          <cell r="D1560" t="str">
            <v>Snap Button Punch Mould</v>
          </cell>
          <cell r="Q1560">
            <v>28</v>
          </cell>
        </row>
        <row r="1561">
          <cell r="D1561" t="str">
            <v>Spaghative Reverse Loop Folder-27mm-10mm</v>
          </cell>
          <cell r="Q1561">
            <v>2</v>
          </cell>
        </row>
        <row r="1562">
          <cell r="D1562" t="str">
            <v>Spaghative Reverse Loop Folder-34mm-12mm</v>
          </cell>
          <cell r="Q1562">
            <v>0</v>
          </cell>
        </row>
        <row r="1563">
          <cell r="D1563" t="str">
            <v>Star Driver -10"</v>
          </cell>
          <cell r="Q1563">
            <v>6</v>
          </cell>
        </row>
        <row r="1564">
          <cell r="D1564" t="str">
            <v>Star Driver 6"</v>
          </cell>
          <cell r="Q1564">
            <v>0</v>
          </cell>
        </row>
        <row r="1565">
          <cell r="D1565" t="str">
            <v>Super Glue-03gm</v>
          </cell>
          <cell r="Q1565">
            <v>23</v>
          </cell>
        </row>
        <row r="1566">
          <cell r="D1566" t="str">
            <v>Super Glue-25gm</v>
          </cell>
          <cell r="Q1566">
            <v>17</v>
          </cell>
        </row>
        <row r="1567">
          <cell r="D1567" t="str">
            <v>Super Glue-40gm</v>
          </cell>
          <cell r="Q1567">
            <v>26</v>
          </cell>
        </row>
        <row r="1568">
          <cell r="D1568" t="str">
            <v>T/N Auto Gauge Set-01"</v>
          </cell>
          <cell r="Q1568">
            <v>1</v>
          </cell>
        </row>
        <row r="1569">
          <cell r="D1569" t="str">
            <v>T/N Auto Gauge Set-1.1/2</v>
          </cell>
          <cell r="Q1569">
            <v>1</v>
          </cell>
        </row>
        <row r="1570">
          <cell r="D1570" t="str">
            <v>T/N Auto Gauge Set-1.1/4</v>
          </cell>
          <cell r="Q1570">
            <v>1</v>
          </cell>
        </row>
        <row r="1571">
          <cell r="D1571" t="str">
            <v>T/N Auto Gauge Set-1.1/8</v>
          </cell>
          <cell r="Q1571">
            <v>2</v>
          </cell>
        </row>
        <row r="1572">
          <cell r="D1572" t="str">
            <v>T/N Auto Gauge Set-1.3/8</v>
          </cell>
          <cell r="Q1572">
            <v>2</v>
          </cell>
        </row>
        <row r="1573">
          <cell r="D1573" t="str">
            <v>T/N Auto Gauge Set-1.5/8</v>
          </cell>
          <cell r="Q1573">
            <v>4</v>
          </cell>
        </row>
        <row r="1574">
          <cell r="D1574" t="str">
            <v>T/N Auto Gauge Set-1/2"</v>
          </cell>
          <cell r="Q1574">
            <v>16</v>
          </cell>
        </row>
        <row r="1575">
          <cell r="D1575" t="str">
            <v>T/N Auto Gauge Set-1/8</v>
          </cell>
          <cell r="Q1575">
            <v>1</v>
          </cell>
        </row>
        <row r="1576">
          <cell r="D1576" t="str">
            <v>T/N Auto Gauge Set-3/16</v>
          </cell>
          <cell r="Q1576">
            <v>12</v>
          </cell>
        </row>
        <row r="1577">
          <cell r="D1577" t="str">
            <v>T/N Auto Gauge Set-3/4</v>
          </cell>
          <cell r="Q1577">
            <v>4</v>
          </cell>
        </row>
        <row r="1578">
          <cell r="D1578" t="str">
            <v>T/N Auto Gauge Set-3/8</v>
          </cell>
          <cell r="Q1578">
            <v>4</v>
          </cell>
        </row>
        <row r="1579">
          <cell r="D1579" t="str">
            <v>T/N Auto Gauge Set-5/16</v>
          </cell>
          <cell r="Q1579">
            <v>0</v>
          </cell>
        </row>
        <row r="1580">
          <cell r="D1580" t="str">
            <v>T/N Auto Gauge Set-5/8</v>
          </cell>
          <cell r="Q1580">
            <v>5</v>
          </cell>
        </row>
        <row r="1581">
          <cell r="D1581" t="str">
            <v>T/N Auto Gauge Set-7/8</v>
          </cell>
          <cell r="Q1581">
            <v>5</v>
          </cell>
        </row>
        <row r="1582">
          <cell r="D1582" t="str">
            <v>T/N Bobbin Case Patti</v>
          </cell>
          <cell r="Q1582">
            <v>20</v>
          </cell>
        </row>
        <row r="1583">
          <cell r="D1583" t="str">
            <v>T/N Bobbin Case Spring</v>
          </cell>
          <cell r="Q1583">
            <v>27</v>
          </cell>
        </row>
        <row r="1584">
          <cell r="D1584" t="str">
            <v>T/N Chain Stitch Machine Lopper</v>
          </cell>
          <cell r="Q1584">
            <v>5</v>
          </cell>
        </row>
        <row r="1585">
          <cell r="D1585" t="str">
            <v>T/N Critical Binding Folder-36mm-9mm</v>
          </cell>
          <cell r="Q1585">
            <v>1</v>
          </cell>
        </row>
        <row r="1586">
          <cell r="D1586" t="str">
            <v>T/N Feet Dog Screw</v>
          </cell>
          <cell r="Q1586">
            <v>21</v>
          </cell>
        </row>
        <row r="1587">
          <cell r="D1587" t="str">
            <v>T/N Fixed Knife</v>
          </cell>
          <cell r="Q1587">
            <v>7</v>
          </cell>
        </row>
        <row r="1588">
          <cell r="D1588" t="str">
            <v>T/N Hanger Loop Gamble Folder-32mm-8mm</v>
          </cell>
          <cell r="Q1588">
            <v>1</v>
          </cell>
        </row>
        <row r="1589">
          <cell r="D1589" t="str">
            <v>T/N Knife Patti</v>
          </cell>
          <cell r="Q1589">
            <v>5</v>
          </cell>
        </row>
        <row r="1590">
          <cell r="D1590" t="str">
            <v>T/N Lifter Cap</v>
          </cell>
          <cell r="Q1590">
            <v>28</v>
          </cell>
        </row>
        <row r="1591">
          <cell r="D1591" t="str">
            <v xml:space="preserve">T/N Machine Bobbin </v>
          </cell>
          <cell r="Q1591">
            <v>51</v>
          </cell>
        </row>
        <row r="1592">
          <cell r="D1592" t="str">
            <v>T/N Machine Preassur Feet Bar</v>
          </cell>
          <cell r="Q1592">
            <v>4</v>
          </cell>
        </row>
        <row r="1593">
          <cell r="D1593" t="str">
            <v>T/N Machine Roller Device</v>
          </cell>
          <cell r="Q1593">
            <v>4</v>
          </cell>
        </row>
        <row r="1594">
          <cell r="D1594" t="str">
            <v>T/N Moving Knife</v>
          </cell>
          <cell r="Q1594">
            <v>3</v>
          </cell>
        </row>
        <row r="1595">
          <cell r="D1595" t="str">
            <v>T/N Needle Safety Guard</v>
          </cell>
          <cell r="Q1595">
            <v>100</v>
          </cell>
        </row>
        <row r="1596">
          <cell r="D1596" t="str">
            <v>T/N Needle Screw</v>
          </cell>
          <cell r="Q1596">
            <v>10</v>
          </cell>
        </row>
        <row r="1597">
          <cell r="D1597" t="str">
            <v>T/N Palet Screw</v>
          </cell>
          <cell r="Q1597">
            <v>0</v>
          </cell>
        </row>
        <row r="1598">
          <cell r="D1598" t="str">
            <v>T/N Rotary Hook</v>
          </cell>
          <cell r="Q1598">
            <v>7</v>
          </cell>
        </row>
        <row r="1599">
          <cell r="D1599" t="str">
            <v>T/N Take Up Spring CL</v>
          </cell>
          <cell r="Q1599">
            <v>11</v>
          </cell>
        </row>
        <row r="1600">
          <cell r="D1600" t="str">
            <v>T/N Take Up Spring CR</v>
          </cell>
          <cell r="Q1600">
            <v>11</v>
          </cell>
        </row>
        <row r="1601">
          <cell r="D1601" t="str">
            <v>Table Vise Clamp</v>
          </cell>
          <cell r="Q1601">
            <v>11</v>
          </cell>
        </row>
        <row r="1602">
          <cell r="D1602" t="str">
            <v>Tan Top Lether Folder-38mm-10mm</v>
          </cell>
          <cell r="Q1602">
            <v>1</v>
          </cell>
        </row>
        <row r="1603">
          <cell r="D1603" t="str">
            <v>Taplon Tape 0.5mm</v>
          </cell>
          <cell r="Q1603">
            <v>36</v>
          </cell>
        </row>
        <row r="1604">
          <cell r="D1604" t="str">
            <v>Taplon Tape 1mm</v>
          </cell>
          <cell r="Q1604">
            <v>37</v>
          </cell>
        </row>
        <row r="1605">
          <cell r="D1605" t="str">
            <v>Template Cutting Machine Mirco Drive</v>
          </cell>
          <cell r="Q1605">
            <v>0</v>
          </cell>
        </row>
        <row r="1606">
          <cell r="D1606" t="str">
            <v>Template Cutting Machine Router Motor</v>
          </cell>
          <cell r="Q1606">
            <v>0</v>
          </cell>
        </row>
        <row r="1607">
          <cell r="D1607" t="str">
            <v>Tension System Binding Folder -22mm-11mm</v>
          </cell>
          <cell r="Q1607">
            <v>2</v>
          </cell>
        </row>
        <row r="1608">
          <cell r="D1608" t="str">
            <v>Thai Chanel 1.1/2</v>
          </cell>
          <cell r="Q1608">
            <v>0</v>
          </cell>
        </row>
        <row r="1609">
          <cell r="D1609" t="str">
            <v>Thai Rabber</v>
          </cell>
          <cell r="Q1609">
            <v>0</v>
          </cell>
        </row>
        <row r="1610">
          <cell r="D1610" t="str">
            <v>V/T Cutter Knife</v>
          </cell>
          <cell r="Q1610">
            <v>254</v>
          </cell>
        </row>
        <row r="1611">
          <cell r="D1611" t="str">
            <v>V/T Gauge Set-1/4</v>
          </cell>
          <cell r="Q1611">
            <v>10</v>
          </cell>
        </row>
        <row r="1612">
          <cell r="D1612" t="str">
            <v>V/T Gauge Set-1/8</v>
          </cell>
          <cell r="Q1612">
            <v>0</v>
          </cell>
        </row>
        <row r="1613">
          <cell r="D1613" t="str">
            <v>V/T Gauge Set-3/16</v>
          </cell>
          <cell r="Q1613">
            <v>10</v>
          </cell>
        </row>
        <row r="1614">
          <cell r="D1614" t="str">
            <v>V/T Gauge Set-3/8</v>
          </cell>
          <cell r="Q1614">
            <v>10</v>
          </cell>
        </row>
        <row r="1615">
          <cell r="D1615" t="str">
            <v>V/T Gauge Set-5/16</v>
          </cell>
          <cell r="Q1615">
            <v>5</v>
          </cell>
        </row>
        <row r="1616">
          <cell r="D1616" t="str">
            <v>Vernier Scale-12"</v>
          </cell>
          <cell r="Q1616">
            <v>0</v>
          </cell>
        </row>
        <row r="1617">
          <cell r="D1617" t="str">
            <v>Vernier Scale-6"</v>
          </cell>
          <cell r="Q1617">
            <v>0</v>
          </cell>
        </row>
        <row r="1618">
          <cell r="D1618" t="str">
            <v>Zipper Hanger Stand</v>
          </cell>
          <cell r="Q1618">
            <v>1</v>
          </cell>
        </row>
        <row r="1619">
          <cell r="D1619" t="str">
            <v>Zipper Joint Drawsting System Folder-26mm-13mm</v>
          </cell>
          <cell r="Q1619">
            <v>9</v>
          </cell>
        </row>
        <row r="1620">
          <cell r="D1620" t="str">
            <v>Zipper Joint Folder-40mm-20mm</v>
          </cell>
          <cell r="Q1620">
            <v>1</v>
          </cell>
        </row>
        <row r="1621">
          <cell r="D1621" t="str">
            <v>Snap Button Machine Safety Guard</v>
          </cell>
          <cell r="Q1621">
            <v>0</v>
          </cell>
        </row>
        <row r="1622">
          <cell r="D1622" t="str">
            <v>Adhesive Paper-A4 Size-Brown</v>
          </cell>
          <cell r="Q1622">
            <v>0</v>
          </cell>
        </row>
        <row r="1623">
          <cell r="D1623" t="str">
            <v>Snap Button M/C Push Button Switch</v>
          </cell>
          <cell r="Q1623">
            <v>2</v>
          </cell>
        </row>
        <row r="1624">
          <cell r="D1624" t="str">
            <v>Colour Paper - 3 Color</v>
          </cell>
          <cell r="Q1624">
            <v>0</v>
          </cell>
        </row>
        <row r="1625">
          <cell r="D1625" t="str">
            <v>Poly-30 x 22 "</v>
          </cell>
          <cell r="Q1625">
            <v>0</v>
          </cell>
        </row>
        <row r="1626">
          <cell r="D1626" t="str">
            <v xml:space="preserve">Poly-9x12" </v>
          </cell>
          <cell r="Q1626">
            <v>0</v>
          </cell>
        </row>
        <row r="1627">
          <cell r="D1627" t="str">
            <v>P/M Needle DBX1-MR FFG-14</v>
          </cell>
          <cell r="Q1627">
            <v>10</v>
          </cell>
        </row>
        <row r="1628">
          <cell r="D1628" t="str">
            <v>P/M Needle DBX1-MR R-14</v>
          </cell>
          <cell r="Q1628">
            <v>20</v>
          </cell>
        </row>
        <row r="1629">
          <cell r="D1629" t="str">
            <v>K/S Needle DVx57 RG-12</v>
          </cell>
          <cell r="Q1629">
            <v>10</v>
          </cell>
        </row>
        <row r="1630">
          <cell r="D1630" t="str">
            <v>K/S Needle DVx57 RG-14</v>
          </cell>
          <cell r="Q1630">
            <v>10</v>
          </cell>
        </row>
        <row r="1631">
          <cell r="D1631" t="str">
            <v>K/S Needle DVx57 RG-16</v>
          </cell>
          <cell r="Q1631">
            <v>10</v>
          </cell>
        </row>
        <row r="1632">
          <cell r="D1632" t="str">
            <v>K/S Needle DVx57 FFG-12</v>
          </cell>
          <cell r="Q1632">
            <v>10</v>
          </cell>
        </row>
        <row r="1633">
          <cell r="D1633" t="str">
            <v>K/S Needle DVx57 FFG-14</v>
          </cell>
          <cell r="Q1633">
            <v>10</v>
          </cell>
        </row>
        <row r="1634">
          <cell r="D1634" t="str">
            <v>K/S Needle DVx57 FFG-16</v>
          </cell>
          <cell r="Q1634">
            <v>10</v>
          </cell>
        </row>
        <row r="1635">
          <cell r="D1635" t="str">
            <v>K/S Needle DVx57 FG-16</v>
          </cell>
          <cell r="Q1635">
            <v>10</v>
          </cell>
        </row>
        <row r="1636">
          <cell r="D1636" t="str">
            <v>T/N Needle DPX5 SAN10 XS-FFG-08</v>
          </cell>
          <cell r="Q1636">
            <v>20</v>
          </cell>
        </row>
        <row r="1637">
          <cell r="D1637" t="str">
            <v>Air Nipple -4mm</v>
          </cell>
          <cell r="Q1637">
            <v>5</v>
          </cell>
        </row>
        <row r="1638">
          <cell r="D1638" t="str">
            <v>Non Woven  Interlining-White</v>
          </cell>
          <cell r="Q1638">
            <v>0</v>
          </cell>
        </row>
        <row r="1639">
          <cell r="D1639" t="str">
            <v>Non Woven  Interlining-Black</v>
          </cell>
          <cell r="Q1639">
            <v>0</v>
          </cell>
        </row>
        <row r="1640">
          <cell r="D1640" t="str">
            <v>Trangulur Bandage</v>
          </cell>
          <cell r="Q1640">
            <v>0</v>
          </cell>
        </row>
        <row r="1641">
          <cell r="D1641" t="str">
            <v>Blood Lancet For Glucometer</v>
          </cell>
          <cell r="Q1641">
            <v>0</v>
          </cell>
        </row>
        <row r="1642">
          <cell r="D1642" t="str">
            <v>Capacitor-16 uf</v>
          </cell>
          <cell r="Q1642">
            <v>3</v>
          </cell>
        </row>
        <row r="1643">
          <cell r="D1643" t="str">
            <v>Ball Bearing -6203</v>
          </cell>
          <cell r="Q1643">
            <v>3</v>
          </cell>
        </row>
        <row r="1644">
          <cell r="D1644" t="str">
            <v>Sairent Belt/Gonta</v>
          </cell>
          <cell r="Q1644">
            <v>1</v>
          </cell>
        </row>
        <row r="1645">
          <cell r="D1645" t="str">
            <v>Circuit Breaker TP-63A(ABB)</v>
          </cell>
          <cell r="Q1645">
            <v>0</v>
          </cell>
        </row>
        <row r="1646">
          <cell r="D1646" t="str">
            <v>Stand Fan Phaka</v>
          </cell>
          <cell r="Q1646">
            <v>0</v>
          </cell>
        </row>
        <row r="1647">
          <cell r="D1647" t="str">
            <v>Zipper Cutting Plus-6.5"</v>
          </cell>
          <cell r="Q1647">
            <v>3</v>
          </cell>
        </row>
        <row r="1648">
          <cell r="D1648" t="str">
            <v>K/S Machine Roller Set(Big)</v>
          </cell>
          <cell r="Q1648">
            <v>6</v>
          </cell>
        </row>
        <row r="1649">
          <cell r="D1649" t="str">
            <v>Pvc Long Trap-04''</v>
          </cell>
          <cell r="Q1649">
            <v>0</v>
          </cell>
        </row>
        <row r="1650">
          <cell r="D1650" t="str">
            <v>Poly-80 x 90 cm</v>
          </cell>
          <cell r="Q1650">
            <v>0</v>
          </cell>
        </row>
        <row r="1651">
          <cell r="D1651" t="str">
            <v>Polyethene -72"</v>
          </cell>
          <cell r="Q1651">
            <v>48</v>
          </cell>
        </row>
        <row r="1652">
          <cell r="D1652" t="str">
            <v>Trolly Wheel-5"</v>
          </cell>
          <cell r="Q1652">
            <v>1</v>
          </cell>
        </row>
        <row r="1653">
          <cell r="D1653" t="str">
            <v>Mosquito Net</v>
          </cell>
          <cell r="Q1653">
            <v>0</v>
          </cell>
        </row>
        <row r="1654">
          <cell r="D1654" t="str">
            <v>Snap button Machine Safety Switch Base</v>
          </cell>
          <cell r="Q1654">
            <v>0</v>
          </cell>
        </row>
        <row r="1655">
          <cell r="D1655" t="str">
            <v>B/T Round Presser Feet/Plate-20mm</v>
          </cell>
          <cell r="Q1655">
            <v>14</v>
          </cell>
        </row>
        <row r="1656">
          <cell r="D1656" t="str">
            <v>B/S Machine Feet Plate-Juki</v>
          </cell>
          <cell r="Q1656">
            <v>5</v>
          </cell>
        </row>
        <row r="1657">
          <cell r="D1657" t="str">
            <v>F/L Machine Plastic Pressure Feet</v>
          </cell>
          <cell r="Q1657">
            <v>10</v>
          </cell>
        </row>
        <row r="1658">
          <cell r="D1658" t="str">
            <v xml:space="preserve">P/M Needle Bar  </v>
          </cell>
          <cell r="Q1658">
            <v>10</v>
          </cell>
        </row>
        <row r="1659">
          <cell r="D1659" t="str">
            <v>P/M Tension Pust Spring</v>
          </cell>
          <cell r="Q1659">
            <v>5</v>
          </cell>
        </row>
        <row r="1660">
          <cell r="D1660" t="str">
            <v>K/S Machine Gamble Folder-110mm-42mm</v>
          </cell>
          <cell r="Q1660">
            <v>0</v>
          </cell>
        </row>
        <row r="1661">
          <cell r="D1661" t="str">
            <v>E/H Thread Cutting Upper Knife</v>
          </cell>
          <cell r="Q1661">
            <v>3</v>
          </cell>
        </row>
        <row r="1662">
          <cell r="D1662" t="str">
            <v>E/H Thread Cutting Lower Knife</v>
          </cell>
          <cell r="Q1662">
            <v>5</v>
          </cell>
        </row>
        <row r="1663">
          <cell r="D1663" t="str">
            <v>Ariel Matic Liquid-500 g</v>
          </cell>
          <cell r="Q1663">
            <v>0</v>
          </cell>
        </row>
        <row r="1664">
          <cell r="D1664" t="str">
            <v>Ambrella</v>
          </cell>
          <cell r="Q1664">
            <v>0</v>
          </cell>
        </row>
        <row r="1665">
          <cell r="D1665" t="str">
            <v>Luggage-28"</v>
          </cell>
          <cell r="Q1665">
            <v>0</v>
          </cell>
        </row>
        <row r="1666">
          <cell r="D1666" t="str">
            <v>Macy's Meassurement Sticker</v>
          </cell>
          <cell r="Q1666">
            <v>0</v>
          </cell>
        </row>
        <row r="1667">
          <cell r="D1667" t="str">
            <v>Steam Gate Valve-3"</v>
          </cell>
          <cell r="Q1667">
            <v>0</v>
          </cell>
        </row>
        <row r="1668">
          <cell r="D1668" t="str">
            <v>Flance-3"</v>
          </cell>
          <cell r="Q1668">
            <v>0</v>
          </cell>
        </row>
        <row r="1669">
          <cell r="D1669" t="str">
            <v xml:space="preserve"> Nut Bolt With Washer-16x65mm</v>
          </cell>
          <cell r="Q1669">
            <v>0</v>
          </cell>
        </row>
        <row r="1670">
          <cell r="D1670" t="str">
            <v>Denim Pen-81</v>
          </cell>
          <cell r="Q1670">
            <v>2</v>
          </cell>
        </row>
        <row r="1671">
          <cell r="D1671" t="str">
            <v>Denim Pen-63</v>
          </cell>
          <cell r="Q1671">
            <v>2</v>
          </cell>
        </row>
        <row r="1672">
          <cell r="D1672" t="str">
            <v>P/M Hemming Folder-10mm</v>
          </cell>
          <cell r="Q1672">
            <v>0</v>
          </cell>
        </row>
        <row r="1673">
          <cell r="D1673" t="str">
            <v>P/M Hemming Folder-6mm</v>
          </cell>
          <cell r="Q1673">
            <v>0</v>
          </cell>
        </row>
        <row r="1674">
          <cell r="D1674" t="str">
            <v>Tab.Bizoran-20mg</v>
          </cell>
          <cell r="Q1674">
            <v>0</v>
          </cell>
        </row>
        <row r="1675">
          <cell r="D1675" t="str">
            <v>Micropore Tape-1"</v>
          </cell>
          <cell r="Q1675">
            <v>0</v>
          </cell>
        </row>
        <row r="1676">
          <cell r="D1676" t="str">
            <v>Cable Tray(6"x3")</v>
          </cell>
          <cell r="Q1676">
            <v>184</v>
          </cell>
        </row>
        <row r="1677">
          <cell r="D1677" t="str">
            <v>Gum -B-7000</v>
          </cell>
          <cell r="Q1677">
            <v>1</v>
          </cell>
        </row>
        <row r="1678">
          <cell r="D1678" t="str">
            <v>Additional Table &amp;Clamp</v>
          </cell>
          <cell r="Q1678">
            <v>2</v>
          </cell>
        </row>
        <row r="1679">
          <cell r="D1679" t="str">
            <v>Dawer Hander</v>
          </cell>
          <cell r="Q1679">
            <v>25</v>
          </cell>
        </row>
        <row r="1680">
          <cell r="D1680" t="str">
            <v>DB Board Rubber Mat</v>
          </cell>
          <cell r="Q1680">
            <v>0</v>
          </cell>
        </row>
        <row r="1681">
          <cell r="D1681" t="str">
            <v>Air Solenoid Valve- Sy5120-SG-01</v>
          </cell>
          <cell r="Q1681">
            <v>2</v>
          </cell>
        </row>
        <row r="1682">
          <cell r="D1682" t="str">
            <v>Hammer Drill Bit-06mm</v>
          </cell>
          <cell r="Q1682">
            <v>5</v>
          </cell>
        </row>
        <row r="1683">
          <cell r="D1683" t="str">
            <v>S S Nut Bolt-8x25 mmWith Washer</v>
          </cell>
          <cell r="Q1683">
            <v>30</v>
          </cell>
        </row>
        <row r="1684">
          <cell r="D1684" t="str">
            <v>BL /S Machhine Loop Folder-23-9 mm</v>
          </cell>
          <cell r="Q1684">
            <v>0</v>
          </cell>
        </row>
        <row r="1685">
          <cell r="D1685" t="str">
            <v>Capacitor-6 uf</v>
          </cell>
          <cell r="Q1685">
            <v>3</v>
          </cell>
        </row>
        <row r="1686">
          <cell r="D1686" t="str">
            <v>AC Round Type Power 3Pin Plug</v>
          </cell>
          <cell r="Q1686">
            <v>10</v>
          </cell>
        </row>
        <row r="1687">
          <cell r="D1687" t="str">
            <v>Thinner Gun Machine Switch</v>
          </cell>
          <cell r="Q1687">
            <v>2</v>
          </cell>
        </row>
        <row r="1688">
          <cell r="D1688" t="str">
            <v>Measurement Tape-Box-100 Feet</v>
          </cell>
          <cell r="Q1688">
            <v>1</v>
          </cell>
        </row>
        <row r="1689">
          <cell r="D1689" t="str">
            <v>End Cutter Machine Sensor</v>
          </cell>
          <cell r="Q1689">
            <v>2</v>
          </cell>
        </row>
        <row r="1690">
          <cell r="D1690" t="str">
            <v>Hand Metal Detector Machine</v>
          </cell>
          <cell r="Q1690">
            <v>0</v>
          </cell>
        </row>
        <row r="1691">
          <cell r="D1691" t="str">
            <v>Exhust Fan-6"</v>
          </cell>
          <cell r="Q1691">
            <v>0</v>
          </cell>
        </row>
        <row r="1692">
          <cell r="D1692" t="str">
            <v xml:space="preserve">Re Cone Machine Chain </v>
          </cell>
          <cell r="Q1692">
            <v>1</v>
          </cell>
        </row>
      </sheetData>
      <sheetData sheetId="2"/>
      <sheetData sheetId="3"/>
      <sheetData sheetId="4">
        <row r="4">
          <cell r="O4">
            <v>17145.899999999998</v>
          </cell>
        </row>
        <row r="5">
          <cell r="D5" t="str">
            <v>Item Name</v>
          </cell>
          <cell r="O5" t="str">
            <v>Consumption</v>
          </cell>
        </row>
        <row r="6">
          <cell r="D6" t="str">
            <v xml:space="preserve">APW/M Needle MTx190 -14 </v>
          </cell>
          <cell r="O6">
            <v>0</v>
          </cell>
        </row>
        <row r="7">
          <cell r="D7" t="str">
            <v>B/S Needle DPX17-09</v>
          </cell>
          <cell r="O7">
            <v>0</v>
          </cell>
        </row>
        <row r="8">
          <cell r="D8" t="str">
            <v>B/S Needle DPX17-11</v>
          </cell>
          <cell r="O8">
            <v>0</v>
          </cell>
        </row>
        <row r="9">
          <cell r="D9" t="str">
            <v>B/S Needle DPx17-14</v>
          </cell>
          <cell r="O9">
            <v>0</v>
          </cell>
        </row>
        <row r="10">
          <cell r="D10" t="str">
            <v>B/S Needle DPX17-16</v>
          </cell>
          <cell r="O10">
            <v>0</v>
          </cell>
        </row>
        <row r="11">
          <cell r="D11" t="str">
            <v>B/S Needle DPX17-FFG-10</v>
          </cell>
          <cell r="O11">
            <v>0</v>
          </cell>
        </row>
        <row r="12">
          <cell r="D12" t="str">
            <v>B/S Needle DPX17-FFG-11</v>
          </cell>
          <cell r="O12">
            <v>0</v>
          </cell>
        </row>
        <row r="13">
          <cell r="D13" t="str">
            <v>B/S Needle DPX17-FFG-12</v>
          </cell>
          <cell r="O13">
            <v>0</v>
          </cell>
        </row>
        <row r="14">
          <cell r="D14" t="str">
            <v>B/S Needle DPX17-FG-14</v>
          </cell>
          <cell r="O14">
            <v>0</v>
          </cell>
        </row>
        <row r="15">
          <cell r="D15" t="str">
            <v>B/S Needle DPX17-R-09</v>
          </cell>
          <cell r="O15">
            <v>0</v>
          </cell>
        </row>
        <row r="16">
          <cell r="D16" t="str">
            <v>B/S Needle DPX17-R-11</v>
          </cell>
          <cell r="O16">
            <v>0</v>
          </cell>
        </row>
        <row r="17">
          <cell r="D17" t="str">
            <v>B/S Needle DPX17-R-12</v>
          </cell>
          <cell r="O17">
            <v>0</v>
          </cell>
        </row>
        <row r="18">
          <cell r="D18" t="str">
            <v>B/S Needle DPX17-R-14</v>
          </cell>
          <cell r="O18">
            <v>0</v>
          </cell>
        </row>
        <row r="19">
          <cell r="D19" t="str">
            <v>B/S Needle DPX17-R-16</v>
          </cell>
          <cell r="O19">
            <v>0</v>
          </cell>
        </row>
        <row r="20">
          <cell r="D20" t="str">
            <v>BL/S Needle LWX6T-RS-09</v>
          </cell>
          <cell r="O20">
            <v>0</v>
          </cell>
        </row>
        <row r="21">
          <cell r="D21" t="str">
            <v>BL/S Needle LWX6T-RS-11</v>
          </cell>
          <cell r="O21">
            <v>0</v>
          </cell>
        </row>
        <row r="22">
          <cell r="D22" t="str">
            <v>BL/S Needle LWX6T-RS-12</v>
          </cell>
          <cell r="O22">
            <v>0</v>
          </cell>
        </row>
        <row r="23">
          <cell r="D23" t="str">
            <v>E/H Needle DOX558-16</v>
          </cell>
          <cell r="O23">
            <v>0</v>
          </cell>
        </row>
        <row r="24">
          <cell r="D24" t="str">
            <v>E/H Needle DOX558-18</v>
          </cell>
          <cell r="O24">
            <v>0</v>
          </cell>
        </row>
        <row r="25">
          <cell r="D25" t="str">
            <v>E/H Needle DOX558-RS-14</v>
          </cell>
          <cell r="O25">
            <v>1</v>
          </cell>
        </row>
        <row r="26">
          <cell r="D26" t="str">
            <v>F/L Needle UYX128 GAS-FFG-10</v>
          </cell>
          <cell r="O26">
            <v>0</v>
          </cell>
        </row>
        <row r="27">
          <cell r="D27" t="str">
            <v>F/L Needle UYX128 GAS-FFG-11</v>
          </cell>
          <cell r="O27">
            <v>0</v>
          </cell>
        </row>
        <row r="28">
          <cell r="D28" t="str">
            <v>F/L Needle UYX128 GAS-FFG-14</v>
          </cell>
          <cell r="O28">
            <v>0</v>
          </cell>
        </row>
        <row r="29">
          <cell r="D29" t="str">
            <v>F/L Needle UYX128 GAS-FFG-16</v>
          </cell>
          <cell r="O29">
            <v>0</v>
          </cell>
        </row>
        <row r="30">
          <cell r="D30" t="str">
            <v>F/L Needle UYX128 GAS-RG-09</v>
          </cell>
          <cell r="O30">
            <v>0</v>
          </cell>
        </row>
        <row r="31">
          <cell r="D31" t="str">
            <v>F/L Needle UYX128 GAS-RG-11</v>
          </cell>
          <cell r="O31">
            <v>0</v>
          </cell>
        </row>
        <row r="32">
          <cell r="D32" t="str">
            <v>F/L Needle UYX128 GAS-RG-12</v>
          </cell>
          <cell r="O32">
            <v>0</v>
          </cell>
        </row>
        <row r="33">
          <cell r="D33" t="str">
            <v>F/L Needle UYX128 GAS-RG-14</v>
          </cell>
          <cell r="O33">
            <v>5</v>
          </cell>
        </row>
        <row r="34">
          <cell r="D34" t="str">
            <v>F/L Needle UYX128 GAS-RG-16</v>
          </cell>
          <cell r="O34">
            <v>0</v>
          </cell>
        </row>
        <row r="35">
          <cell r="D35" t="str">
            <v>F/L Needle UYX128 GBS-FG-09</v>
          </cell>
          <cell r="O35">
            <v>0</v>
          </cell>
        </row>
        <row r="36">
          <cell r="D36" t="str">
            <v>F/L Needle UYX128 GBS-FG-10</v>
          </cell>
          <cell r="O36">
            <v>0</v>
          </cell>
        </row>
        <row r="37">
          <cell r="D37" t="str">
            <v>F/L Needle UYX128 GBS-FG-11</v>
          </cell>
          <cell r="O37">
            <v>0</v>
          </cell>
        </row>
        <row r="38">
          <cell r="D38" t="str">
            <v>F/L Needle UYX128 GBS-FG-12</v>
          </cell>
          <cell r="O38">
            <v>0</v>
          </cell>
        </row>
        <row r="39">
          <cell r="D39" t="str">
            <v>F/L Needle UYX128 GBS-FG-14</v>
          </cell>
          <cell r="O39">
            <v>0</v>
          </cell>
        </row>
        <row r="40">
          <cell r="D40" t="str">
            <v>F/L Needle UYX128 GBS-FG-16</v>
          </cell>
          <cell r="O40">
            <v>1</v>
          </cell>
        </row>
        <row r="41">
          <cell r="D41" t="str">
            <v>F/L Needle UYX128 SAN10-FFG-08</v>
          </cell>
          <cell r="O41">
            <v>0</v>
          </cell>
        </row>
        <row r="42">
          <cell r="D42" t="str">
            <v>F/L Needle UYX128 SAN10-FFG-09</v>
          </cell>
          <cell r="O42">
            <v>0</v>
          </cell>
        </row>
        <row r="43">
          <cell r="D43" t="str">
            <v>F/L Needle UYX128-09</v>
          </cell>
          <cell r="O43">
            <v>0</v>
          </cell>
        </row>
        <row r="44">
          <cell r="D44" t="str">
            <v>F/L Needle UYX128-11</v>
          </cell>
          <cell r="O44">
            <v>0</v>
          </cell>
        </row>
        <row r="45">
          <cell r="D45" t="str">
            <v>F/L Needle UYX128-16</v>
          </cell>
          <cell r="O45">
            <v>0</v>
          </cell>
        </row>
        <row r="46">
          <cell r="D46" t="str">
            <v>K/N Needle UOX113 GHS-FFG-11</v>
          </cell>
          <cell r="O46">
            <v>0</v>
          </cell>
        </row>
        <row r="47">
          <cell r="D47" t="str">
            <v>K/N Needle UOX113 GHS-FFG-14</v>
          </cell>
          <cell r="O47">
            <v>0</v>
          </cell>
        </row>
        <row r="48">
          <cell r="D48" t="str">
            <v>K/N Needle UOX113 GHS-FFG-16</v>
          </cell>
          <cell r="O48">
            <v>0</v>
          </cell>
        </row>
        <row r="49">
          <cell r="D49" t="str">
            <v>K/N Needle UOX113 GS-RG-09</v>
          </cell>
          <cell r="O49">
            <v>0</v>
          </cell>
        </row>
        <row r="50">
          <cell r="D50" t="str">
            <v>K/N Needle UOX113 GS-RG-10</v>
          </cell>
          <cell r="O50">
            <v>0</v>
          </cell>
        </row>
        <row r="51">
          <cell r="D51" t="str">
            <v>K/N Needle UOX113 GS-RG-11</v>
          </cell>
          <cell r="O51">
            <v>0</v>
          </cell>
        </row>
        <row r="52">
          <cell r="D52" t="str">
            <v>K/N Needle UOX113 GS-RG-12</v>
          </cell>
          <cell r="O52">
            <v>0</v>
          </cell>
        </row>
        <row r="53">
          <cell r="D53" t="str">
            <v>K/N Needle UOX113 GS-RG-14</v>
          </cell>
          <cell r="O53">
            <v>5</v>
          </cell>
        </row>
        <row r="54">
          <cell r="D54" t="str">
            <v>K/N Needle UOX113 GS-RG-16</v>
          </cell>
          <cell r="O54">
            <v>0</v>
          </cell>
        </row>
        <row r="55">
          <cell r="D55" t="str">
            <v>K/N Needle UOX113-09</v>
          </cell>
          <cell r="O55">
            <v>0</v>
          </cell>
        </row>
        <row r="56">
          <cell r="D56" t="str">
            <v>K/N Needle UOX113-11</v>
          </cell>
          <cell r="O56">
            <v>0</v>
          </cell>
        </row>
        <row r="57">
          <cell r="D57" t="str">
            <v>K/N Needle UOX113-16</v>
          </cell>
          <cell r="O57">
            <v>0</v>
          </cell>
        </row>
        <row r="58">
          <cell r="D58" t="str">
            <v>O/L Needle DCX1-07</v>
          </cell>
          <cell r="O58">
            <v>0</v>
          </cell>
        </row>
        <row r="59">
          <cell r="D59" t="str">
            <v>O/L Needle DCX1-11</v>
          </cell>
          <cell r="O59">
            <v>0</v>
          </cell>
        </row>
        <row r="60">
          <cell r="D60" t="str">
            <v>O/L Needle DCX1-14</v>
          </cell>
          <cell r="O60">
            <v>0</v>
          </cell>
        </row>
        <row r="61">
          <cell r="D61" t="str">
            <v>O/L Needle DCX1-16</v>
          </cell>
          <cell r="O61">
            <v>0</v>
          </cell>
        </row>
        <row r="62">
          <cell r="D62" t="str">
            <v>O/L Needle DCX27 SAN10-FFG-08</v>
          </cell>
          <cell r="O62">
            <v>0</v>
          </cell>
        </row>
        <row r="63">
          <cell r="D63" t="str">
            <v>O/L Needle DCX27 SAN10-FFG-09</v>
          </cell>
          <cell r="O63">
            <v>0</v>
          </cell>
        </row>
        <row r="64">
          <cell r="D64" t="str">
            <v>O/L Needle DCX27 SAN10-FFG-11</v>
          </cell>
          <cell r="O64">
            <v>0</v>
          </cell>
        </row>
        <row r="65">
          <cell r="D65" t="str">
            <v>O/L Needle DCX27 SAN10-FFG-12</v>
          </cell>
          <cell r="O65">
            <v>0</v>
          </cell>
        </row>
        <row r="66">
          <cell r="D66" t="str">
            <v>O/L Needle DCX27-FFG-09</v>
          </cell>
          <cell r="O66">
            <v>0</v>
          </cell>
        </row>
        <row r="67">
          <cell r="D67" t="str">
            <v>O/L Needle DCX27-FFG-10</v>
          </cell>
          <cell r="O67">
            <v>0</v>
          </cell>
        </row>
        <row r="68">
          <cell r="D68" t="str">
            <v>O/L Needle DCX27-FFG-11</v>
          </cell>
          <cell r="O68">
            <v>0</v>
          </cell>
        </row>
        <row r="69">
          <cell r="D69" t="str">
            <v>O/L Needle DCX27-FFG-12</v>
          </cell>
          <cell r="O69">
            <v>0</v>
          </cell>
        </row>
        <row r="70">
          <cell r="D70" t="str">
            <v>O/L Needle DCX27-FFG-14</v>
          </cell>
          <cell r="O70">
            <v>0</v>
          </cell>
        </row>
        <row r="71">
          <cell r="D71" t="str">
            <v>O/L Needle DCX27-FG-09</v>
          </cell>
          <cell r="O71">
            <v>0</v>
          </cell>
        </row>
        <row r="72">
          <cell r="D72" t="str">
            <v>O/L Needle DCX27-FG-10</v>
          </cell>
          <cell r="O72">
            <v>0</v>
          </cell>
        </row>
        <row r="73">
          <cell r="D73" t="str">
            <v>O/L Needle DCX27-FG-11</v>
          </cell>
          <cell r="O73">
            <v>5</v>
          </cell>
        </row>
        <row r="74">
          <cell r="D74" t="str">
            <v>O/L Needle DCX27-FG-12</v>
          </cell>
          <cell r="O74">
            <v>0</v>
          </cell>
        </row>
        <row r="75">
          <cell r="D75" t="str">
            <v>O/L Needle DCX27-FG-14</v>
          </cell>
          <cell r="O75">
            <v>0</v>
          </cell>
        </row>
        <row r="76">
          <cell r="D76" t="str">
            <v>O/L Needle DCX27-RG-07</v>
          </cell>
          <cell r="O76">
            <v>0</v>
          </cell>
        </row>
        <row r="77">
          <cell r="D77" t="str">
            <v>O/L Needle DCX27-RG-09</v>
          </cell>
          <cell r="O77">
            <v>5</v>
          </cell>
        </row>
        <row r="78">
          <cell r="D78" t="str">
            <v>O/L Needle DCX27-RG-10</v>
          </cell>
          <cell r="O78">
            <v>0</v>
          </cell>
        </row>
        <row r="79">
          <cell r="D79" t="str">
            <v>O/L Needle DCX27-RG-11</v>
          </cell>
          <cell r="O79">
            <v>5</v>
          </cell>
        </row>
        <row r="80">
          <cell r="D80" t="str">
            <v>O/L Needle DCX27-RG-12</v>
          </cell>
          <cell r="O80">
            <v>0</v>
          </cell>
        </row>
        <row r="81">
          <cell r="D81" t="str">
            <v>O/L Needle DCX27-RG-14</v>
          </cell>
          <cell r="O81">
            <v>0</v>
          </cell>
        </row>
        <row r="82">
          <cell r="D82" t="str">
            <v>P/M Needle DBX1 GEBEDUR-FFG-09</v>
          </cell>
          <cell r="O82">
            <v>0</v>
          </cell>
        </row>
        <row r="83">
          <cell r="D83" t="str">
            <v>P/M Needle DBX1 NS-08</v>
          </cell>
          <cell r="O83">
            <v>0</v>
          </cell>
        </row>
        <row r="84">
          <cell r="D84" t="str">
            <v>P/M Needle DBX1 NS-09</v>
          </cell>
          <cell r="O84">
            <v>0</v>
          </cell>
        </row>
        <row r="85">
          <cell r="D85" t="str">
            <v>P/M Needle DBX1 NS-11</v>
          </cell>
          <cell r="O85">
            <v>0</v>
          </cell>
        </row>
        <row r="86">
          <cell r="D86" t="str">
            <v>P/M Needle DBX1 SAN10 XS-FFG-08</v>
          </cell>
          <cell r="O86">
            <v>0</v>
          </cell>
        </row>
        <row r="87">
          <cell r="D87" t="str">
            <v>P/M Needle DBX1 SAN10 XS-FFG-09</v>
          </cell>
          <cell r="O87">
            <v>7</v>
          </cell>
        </row>
        <row r="88">
          <cell r="D88" t="str">
            <v>P/M Needle DBX1 SAN10 XS-FFG-10</v>
          </cell>
          <cell r="O88">
            <v>0</v>
          </cell>
        </row>
        <row r="89">
          <cell r="D89" t="str">
            <v>P/M Needle DBX1 SAN10-FFG-07</v>
          </cell>
          <cell r="O89">
            <v>0</v>
          </cell>
        </row>
        <row r="90">
          <cell r="D90" t="str">
            <v>P/M Needle DBX1 SAN10-FFG-08</v>
          </cell>
          <cell r="O90">
            <v>0</v>
          </cell>
        </row>
        <row r="91">
          <cell r="D91" t="str">
            <v>P/M Needle DBX1 SAN10-FFG-09</v>
          </cell>
          <cell r="O91">
            <v>5</v>
          </cell>
        </row>
        <row r="92">
          <cell r="D92" t="str">
            <v>P/M Needle DBX1 SAN10-FFG-10</v>
          </cell>
          <cell r="O92">
            <v>0</v>
          </cell>
        </row>
        <row r="93">
          <cell r="D93" t="str">
            <v>P/M Needle DBX1 SAN10-FFG-11</v>
          </cell>
          <cell r="O93">
            <v>0</v>
          </cell>
        </row>
        <row r="94">
          <cell r="D94" t="str">
            <v>P/M Needle DBX1 SAN10-FFG-12</v>
          </cell>
          <cell r="O94">
            <v>0</v>
          </cell>
        </row>
        <row r="95">
          <cell r="D95" t="str">
            <v>P/M Needle DBX1 SAN10-R-07</v>
          </cell>
          <cell r="O95">
            <v>0</v>
          </cell>
        </row>
        <row r="96">
          <cell r="D96" t="str">
            <v>P/M Needle DBX1 SAN10-R-08</v>
          </cell>
          <cell r="O96">
            <v>0</v>
          </cell>
        </row>
        <row r="97">
          <cell r="D97" t="str">
            <v>P/M Needle DBX1 SAN10-R-09</v>
          </cell>
          <cell r="O97">
            <v>0</v>
          </cell>
        </row>
        <row r="98">
          <cell r="D98" t="str">
            <v>P/M Needle DBX1 SAN6-RG-14</v>
          </cell>
          <cell r="O98">
            <v>0</v>
          </cell>
        </row>
        <row r="99">
          <cell r="D99" t="str">
            <v>P/M Needle DBX1 SAN6-RG-16</v>
          </cell>
          <cell r="O99">
            <v>0</v>
          </cell>
        </row>
        <row r="100">
          <cell r="D100" t="str">
            <v>P/M Needle DBX1-14</v>
          </cell>
          <cell r="O100">
            <v>0</v>
          </cell>
        </row>
        <row r="101">
          <cell r="D101" t="str">
            <v>P/M Needle DBX1-16</v>
          </cell>
          <cell r="O101">
            <v>0</v>
          </cell>
        </row>
        <row r="102">
          <cell r="D102" t="str">
            <v>P/M Needle DBX1-FFG-09</v>
          </cell>
          <cell r="O102">
            <v>10</v>
          </cell>
        </row>
        <row r="103">
          <cell r="D103" t="str">
            <v>P/M Needle DBX1-FFG-10</v>
          </cell>
          <cell r="O103">
            <v>0</v>
          </cell>
        </row>
        <row r="104">
          <cell r="D104" t="str">
            <v>P/M Needle DBX1-FFG-11</v>
          </cell>
          <cell r="O104">
            <v>10</v>
          </cell>
        </row>
        <row r="105">
          <cell r="D105" t="str">
            <v>P/M Needle DBX1-FFG-12</v>
          </cell>
          <cell r="O105">
            <v>0</v>
          </cell>
        </row>
        <row r="106">
          <cell r="D106" t="str">
            <v>P/M Needle DBX1-FFG-14</v>
          </cell>
          <cell r="O106">
            <v>0</v>
          </cell>
        </row>
        <row r="107">
          <cell r="D107" t="str">
            <v>P/M Needle DBX1-FFG-16</v>
          </cell>
          <cell r="O107">
            <v>0</v>
          </cell>
        </row>
        <row r="108">
          <cell r="D108" t="str">
            <v>P/M Needle DBX1-FG-09</v>
          </cell>
          <cell r="O108">
            <v>0</v>
          </cell>
        </row>
        <row r="109">
          <cell r="D109" t="str">
            <v>P/M Needle DBX1-FG-10</v>
          </cell>
          <cell r="O109">
            <v>0</v>
          </cell>
        </row>
        <row r="110">
          <cell r="D110" t="str">
            <v>P/M Needle DBX1-FG-11</v>
          </cell>
          <cell r="O110">
            <v>0</v>
          </cell>
        </row>
        <row r="111">
          <cell r="D111" t="str">
            <v>P/M Needle DBX1-FG-12</v>
          </cell>
          <cell r="O111">
            <v>0</v>
          </cell>
        </row>
        <row r="112">
          <cell r="D112" t="str">
            <v>P/M Needle DBX1-FG-14</v>
          </cell>
          <cell r="O112">
            <v>0</v>
          </cell>
        </row>
        <row r="113">
          <cell r="D113" t="str">
            <v>P/M Needle DBX1-R-07</v>
          </cell>
          <cell r="O113">
            <v>5</v>
          </cell>
        </row>
        <row r="114">
          <cell r="D114" t="str">
            <v>P/M Needle DBX1-R-09</v>
          </cell>
          <cell r="O114">
            <v>180</v>
          </cell>
        </row>
        <row r="115">
          <cell r="D115" t="str">
            <v>P/M Needle DBX1-R-10</v>
          </cell>
          <cell r="O115">
            <v>0</v>
          </cell>
        </row>
        <row r="116">
          <cell r="D116" t="str">
            <v>P/M Needle DBX1-R-11</v>
          </cell>
          <cell r="O116">
            <v>85</v>
          </cell>
        </row>
        <row r="117">
          <cell r="D117" t="str">
            <v>P/M Needle DBX1-R-12</v>
          </cell>
          <cell r="O117">
            <v>0</v>
          </cell>
        </row>
        <row r="118">
          <cell r="D118" t="str">
            <v>P/M Needle DBX1-R-14</v>
          </cell>
          <cell r="O118">
            <v>12</v>
          </cell>
        </row>
        <row r="119">
          <cell r="D119" t="str">
            <v>P/M Needle DBX1-R-16</v>
          </cell>
          <cell r="O119">
            <v>5</v>
          </cell>
        </row>
        <row r="120">
          <cell r="D120" t="str">
            <v>P/M Needle DBX1-RS-09</v>
          </cell>
          <cell r="O120">
            <v>0</v>
          </cell>
        </row>
        <row r="121">
          <cell r="D121" t="str">
            <v>P/M Needle DBX1-RS-10</v>
          </cell>
          <cell r="O121">
            <v>0</v>
          </cell>
        </row>
        <row r="122">
          <cell r="D122" t="str">
            <v>P/M Needle DBX1-RS-11</v>
          </cell>
          <cell r="O122">
            <v>0</v>
          </cell>
        </row>
        <row r="123">
          <cell r="D123" t="str">
            <v>P/M Needle DBX1-RS-12</v>
          </cell>
          <cell r="O123">
            <v>0</v>
          </cell>
        </row>
        <row r="124">
          <cell r="D124" t="str">
            <v>P/M Needle DBX1-RS-14</v>
          </cell>
          <cell r="O124">
            <v>0</v>
          </cell>
        </row>
        <row r="125">
          <cell r="D125" t="str">
            <v>S/S Machine Needle CPx1-16</v>
          </cell>
          <cell r="O125">
            <v>0</v>
          </cell>
        </row>
        <row r="126">
          <cell r="D126" t="str">
            <v>S/S Machine Needle CPx12-18</v>
          </cell>
          <cell r="O126">
            <v>0</v>
          </cell>
        </row>
        <row r="127">
          <cell r="D127" t="str">
            <v>S/S Machine Needle CPx12-19</v>
          </cell>
          <cell r="O127">
            <v>0</v>
          </cell>
        </row>
        <row r="128">
          <cell r="D128" t="str">
            <v>T/N Needle DPX5 GEBEDUR-FFG-09</v>
          </cell>
          <cell r="O128">
            <v>0</v>
          </cell>
        </row>
        <row r="129">
          <cell r="D129" t="str">
            <v>T/N Needle DPX5 MR-R-16</v>
          </cell>
          <cell r="O129">
            <v>0</v>
          </cell>
        </row>
        <row r="130">
          <cell r="D130" t="str">
            <v>T/N Needle DPX5 NS-08</v>
          </cell>
          <cell r="O130">
            <v>0</v>
          </cell>
        </row>
        <row r="131">
          <cell r="D131" t="str">
            <v>T/N Needle DPX5 NS-09</v>
          </cell>
          <cell r="O131">
            <v>0</v>
          </cell>
        </row>
        <row r="132">
          <cell r="D132" t="str">
            <v>T/N Needle DPX5 NS-11</v>
          </cell>
          <cell r="O132">
            <v>0</v>
          </cell>
        </row>
        <row r="133">
          <cell r="D133" t="str">
            <v>T/N Needle DPX5 SAN10 XS-FFG-09</v>
          </cell>
          <cell r="O133">
            <v>5</v>
          </cell>
        </row>
        <row r="134">
          <cell r="D134" t="str">
            <v>T/N Needle DPX5 SAN10 XS-FFG-10</v>
          </cell>
          <cell r="O134">
            <v>0</v>
          </cell>
        </row>
        <row r="135">
          <cell r="D135" t="str">
            <v>T/N Needle DPX5 SAN10-FFG-07</v>
          </cell>
          <cell r="O135">
            <v>0</v>
          </cell>
        </row>
        <row r="136">
          <cell r="D136" t="str">
            <v>T/N Needle DPX5 SAN10-FFG-08</v>
          </cell>
          <cell r="O136">
            <v>0</v>
          </cell>
        </row>
        <row r="137">
          <cell r="D137" t="str">
            <v>T/N Needle DPX5 SAN10-FFG-09</v>
          </cell>
          <cell r="O137">
            <v>0</v>
          </cell>
        </row>
        <row r="138">
          <cell r="D138" t="str">
            <v>T/N Needle DPX5 SAN10-FFG-10</v>
          </cell>
          <cell r="O138">
            <v>0</v>
          </cell>
        </row>
        <row r="139">
          <cell r="D139" t="str">
            <v>T/N Needle DPX5 SAN10-FFG-11</v>
          </cell>
          <cell r="O139">
            <v>0</v>
          </cell>
        </row>
        <row r="140">
          <cell r="D140" t="str">
            <v>T/N Needle DPX5 SAN10-FFG-12</v>
          </cell>
          <cell r="O140">
            <v>0</v>
          </cell>
        </row>
        <row r="141">
          <cell r="D141" t="str">
            <v>T/N Needle DPX5 SAN10-R-07</v>
          </cell>
          <cell r="O141">
            <v>0</v>
          </cell>
        </row>
        <row r="142">
          <cell r="D142" t="str">
            <v>T/N Needle DPX5 SAN6-RG-14</v>
          </cell>
          <cell r="O142">
            <v>0</v>
          </cell>
        </row>
        <row r="143">
          <cell r="D143" t="str">
            <v>T/N Needle DPX5 SAN6-RG-16</v>
          </cell>
          <cell r="O143">
            <v>0</v>
          </cell>
        </row>
        <row r="144">
          <cell r="D144" t="str">
            <v>T/N Needle DPX5-11</v>
          </cell>
          <cell r="O144">
            <v>0</v>
          </cell>
        </row>
        <row r="145">
          <cell r="D145" t="str">
            <v>T/N Needle DPX5-14</v>
          </cell>
          <cell r="O145">
            <v>0</v>
          </cell>
        </row>
        <row r="146">
          <cell r="D146" t="str">
            <v>T/N Needle DPX5-16</v>
          </cell>
          <cell r="O146">
            <v>0</v>
          </cell>
        </row>
        <row r="147">
          <cell r="D147" t="str">
            <v>T/N Needle DPX5-FFG-09</v>
          </cell>
          <cell r="O147">
            <v>0</v>
          </cell>
        </row>
        <row r="148">
          <cell r="D148" t="str">
            <v>T/N Needle DPX5-FFG-10</v>
          </cell>
          <cell r="O148">
            <v>0</v>
          </cell>
        </row>
        <row r="149">
          <cell r="D149" t="str">
            <v>T/N Needle DPX5-FFG-11</v>
          </cell>
          <cell r="O149">
            <v>0</v>
          </cell>
        </row>
        <row r="150">
          <cell r="D150" t="str">
            <v>T/N Needle DPX5-FFG-16</v>
          </cell>
          <cell r="O150">
            <v>0</v>
          </cell>
        </row>
        <row r="151">
          <cell r="D151" t="str">
            <v>T/N Needle DPX5-FG-09</v>
          </cell>
          <cell r="O151">
            <v>0</v>
          </cell>
        </row>
        <row r="152">
          <cell r="D152" t="str">
            <v>T/N Needle DPX5-FG-10</v>
          </cell>
          <cell r="O152">
            <v>0</v>
          </cell>
        </row>
        <row r="153">
          <cell r="D153" t="str">
            <v>T/N Needle DPX5-FG-11</v>
          </cell>
          <cell r="O153">
            <v>10</v>
          </cell>
        </row>
        <row r="154">
          <cell r="D154" t="str">
            <v>T/N Needle DPX5-FG-12</v>
          </cell>
          <cell r="O154">
            <v>0</v>
          </cell>
        </row>
        <row r="155">
          <cell r="D155" t="str">
            <v>T/N Needle DPX5-FG-14</v>
          </cell>
          <cell r="O155">
            <v>0</v>
          </cell>
        </row>
        <row r="156">
          <cell r="D156" t="str">
            <v>T/N Needle DPX5-FG-16</v>
          </cell>
          <cell r="O156">
            <v>0</v>
          </cell>
        </row>
        <row r="157">
          <cell r="D157" t="str">
            <v>T/N Needle DPX5-R-07</v>
          </cell>
          <cell r="O157">
            <v>5</v>
          </cell>
        </row>
        <row r="158">
          <cell r="D158" t="str">
            <v>T/N Needle DPX5-R-09</v>
          </cell>
          <cell r="O158">
            <v>14</v>
          </cell>
        </row>
        <row r="159">
          <cell r="D159" t="str">
            <v>T/N Needle DPX5-R-10</v>
          </cell>
          <cell r="O159">
            <v>0</v>
          </cell>
        </row>
        <row r="160">
          <cell r="D160" t="str">
            <v>T/N Needle DPX5-R-11</v>
          </cell>
          <cell r="O160">
            <v>23</v>
          </cell>
        </row>
        <row r="161">
          <cell r="D161" t="str">
            <v>T/N Needle DPX5-R-12</v>
          </cell>
          <cell r="O161">
            <v>0</v>
          </cell>
        </row>
        <row r="162">
          <cell r="D162" t="str">
            <v>T/N Needle DPX5-R-14</v>
          </cell>
          <cell r="O162">
            <v>23</v>
          </cell>
        </row>
        <row r="163">
          <cell r="D163" t="str">
            <v>T/N Needle DPX5-R-16</v>
          </cell>
          <cell r="O163">
            <v>2</v>
          </cell>
        </row>
        <row r="164">
          <cell r="D164" t="str">
            <v>T/N Needle DPX5-RS-09</v>
          </cell>
          <cell r="O164">
            <v>0</v>
          </cell>
        </row>
        <row r="165">
          <cell r="D165" t="str">
            <v>T/N Needle DPX5-RS-16</v>
          </cell>
          <cell r="O165">
            <v>0</v>
          </cell>
        </row>
        <row r="166">
          <cell r="D166" t="str">
            <v>HDMI Cable</v>
          </cell>
          <cell r="O166">
            <v>0</v>
          </cell>
        </row>
        <row r="167">
          <cell r="D167" t="str">
            <v>Keyboard</v>
          </cell>
          <cell r="O167">
            <v>0</v>
          </cell>
        </row>
        <row r="168">
          <cell r="D168" t="str">
            <v>Knife Snap (05587090-2)</v>
          </cell>
          <cell r="O168">
            <v>0</v>
          </cell>
        </row>
        <row r="169">
          <cell r="D169" t="str">
            <v>Molded Platen (05595008)</v>
          </cell>
          <cell r="O169">
            <v>0</v>
          </cell>
        </row>
        <row r="170">
          <cell r="D170" t="str">
            <v xml:space="preserve">Mouse Pad </v>
          </cell>
          <cell r="O170">
            <v>1</v>
          </cell>
        </row>
        <row r="171">
          <cell r="D171" t="str">
            <v>Optical USB Mouse</v>
          </cell>
          <cell r="O171">
            <v>0</v>
          </cell>
        </row>
        <row r="172">
          <cell r="D172" t="str">
            <v>Portable Camera Tripod</v>
          </cell>
          <cell r="O172">
            <v>0</v>
          </cell>
        </row>
        <row r="173">
          <cell r="D173" t="str">
            <v>Printer Head (05581190)</v>
          </cell>
          <cell r="O173">
            <v>0</v>
          </cell>
        </row>
        <row r="174">
          <cell r="D174" t="str">
            <v>Printer HP (M501DN)</v>
          </cell>
          <cell r="O174">
            <v>0</v>
          </cell>
        </row>
        <row r="175">
          <cell r="D175" t="str">
            <v>Ram 8GB</v>
          </cell>
          <cell r="O175">
            <v>0</v>
          </cell>
        </row>
        <row r="176">
          <cell r="D176" t="str">
            <v>Rechargeable Wireless Mouse</v>
          </cell>
          <cell r="O176">
            <v>0</v>
          </cell>
        </row>
        <row r="177">
          <cell r="D177" t="str">
            <v>SSD Card</v>
          </cell>
          <cell r="O177">
            <v>0</v>
          </cell>
        </row>
        <row r="178">
          <cell r="D178" t="str">
            <v>Wired Mouse</v>
          </cell>
          <cell r="O178">
            <v>0</v>
          </cell>
        </row>
        <row r="179">
          <cell r="D179" t="str">
            <v xml:space="preserve"> ID Card Ribbon Printed With Clip-1.5 cm</v>
          </cell>
          <cell r="O179">
            <v>0</v>
          </cell>
        </row>
        <row r="180">
          <cell r="D180" t="str">
            <v xml:space="preserve"> ID Card Ribbon Printed With Clip-2.5 cm</v>
          </cell>
          <cell r="O180">
            <v>0</v>
          </cell>
        </row>
        <row r="181">
          <cell r="D181" t="str">
            <v xml:space="preserve"> ID Card Ribbon Printed-2 cm</v>
          </cell>
          <cell r="O181">
            <v>0</v>
          </cell>
        </row>
        <row r="182">
          <cell r="D182" t="str">
            <v xml:space="preserve"> Plastic File Tray-3 Layer</v>
          </cell>
          <cell r="O182">
            <v>0</v>
          </cell>
        </row>
        <row r="183">
          <cell r="D183" t="str">
            <v xml:space="preserve"> Tag Gun Machine</v>
          </cell>
          <cell r="O183">
            <v>1</v>
          </cell>
        </row>
        <row r="184">
          <cell r="D184" t="str">
            <v xml:space="preserve"> Tag Pin-07mm</v>
          </cell>
          <cell r="O184">
            <v>0</v>
          </cell>
        </row>
        <row r="185">
          <cell r="D185" t="str">
            <v xml:space="preserve"> Tag Pin-10mm</v>
          </cell>
          <cell r="O185">
            <v>0</v>
          </cell>
        </row>
        <row r="186">
          <cell r="D186" t="str">
            <v xml:space="preserve"> Tag Pin-35mm</v>
          </cell>
          <cell r="O186">
            <v>0</v>
          </cell>
        </row>
        <row r="187">
          <cell r="D187" t="str">
            <v xml:space="preserve"> Tag Pin-65mm</v>
          </cell>
          <cell r="O187">
            <v>0</v>
          </cell>
        </row>
        <row r="188">
          <cell r="D188" t="str">
            <v>Adhesive Paper-A4 Size</v>
          </cell>
          <cell r="O188">
            <v>1</v>
          </cell>
        </row>
        <row r="189">
          <cell r="D189" t="str">
            <v>Aerosol Insect Spray</v>
          </cell>
          <cell r="O189">
            <v>0</v>
          </cell>
        </row>
        <row r="190">
          <cell r="D190" t="str">
            <v>Air Freshner Spray</v>
          </cell>
          <cell r="O190">
            <v>31</v>
          </cell>
        </row>
        <row r="191">
          <cell r="D191" t="str">
            <v>Attendence Register</v>
          </cell>
          <cell r="O191">
            <v>0</v>
          </cell>
        </row>
        <row r="192">
          <cell r="D192" t="str">
            <v>Ball Auto Sensor</v>
          </cell>
          <cell r="O192">
            <v>0</v>
          </cell>
        </row>
        <row r="193">
          <cell r="D193" t="str">
            <v>Ball Pen-Black</v>
          </cell>
          <cell r="O193">
            <v>156</v>
          </cell>
        </row>
        <row r="194">
          <cell r="D194" t="str">
            <v>Ball Pen-Blue</v>
          </cell>
          <cell r="O194">
            <v>0</v>
          </cell>
        </row>
        <row r="195">
          <cell r="D195" t="str">
            <v>Ball Pen-Red</v>
          </cell>
          <cell r="O195">
            <v>0</v>
          </cell>
        </row>
        <row r="196">
          <cell r="D196" t="str">
            <v>Binder Clip-19mm</v>
          </cell>
          <cell r="O196">
            <v>0</v>
          </cell>
        </row>
        <row r="197">
          <cell r="D197" t="str">
            <v>Binder Clip-32mm</v>
          </cell>
          <cell r="O197">
            <v>0</v>
          </cell>
        </row>
        <row r="198">
          <cell r="D198" t="str">
            <v>Binder Clip-41mm</v>
          </cell>
          <cell r="O198">
            <v>0</v>
          </cell>
        </row>
        <row r="199">
          <cell r="D199" t="str">
            <v>Binder Clip-51mm</v>
          </cell>
          <cell r="O199">
            <v>24</v>
          </cell>
        </row>
        <row r="200">
          <cell r="D200" t="str">
            <v>Binder Register Khata-16</v>
          </cell>
          <cell r="O200">
            <v>9</v>
          </cell>
        </row>
        <row r="201">
          <cell r="D201" t="str">
            <v>Binder Register Khata-20</v>
          </cell>
          <cell r="O201">
            <v>0</v>
          </cell>
        </row>
        <row r="202">
          <cell r="D202" t="str">
            <v>Binder Register Khata-30</v>
          </cell>
          <cell r="O202">
            <v>0</v>
          </cell>
        </row>
        <row r="203">
          <cell r="D203" t="str">
            <v>Black Paint</v>
          </cell>
          <cell r="O203">
            <v>0</v>
          </cell>
        </row>
        <row r="204">
          <cell r="D204" t="str">
            <v>Brush For Shoe Polish</v>
          </cell>
          <cell r="O204">
            <v>0</v>
          </cell>
        </row>
        <row r="205">
          <cell r="D205" t="str">
            <v>Calculator CD-120</v>
          </cell>
          <cell r="O205">
            <v>2</v>
          </cell>
        </row>
        <row r="206">
          <cell r="D206" t="str">
            <v>Calculator MJ-120 D Plus</v>
          </cell>
          <cell r="O206">
            <v>0</v>
          </cell>
        </row>
        <row r="207">
          <cell r="D207" t="str">
            <v>Carbon Paper A4</v>
          </cell>
          <cell r="O207">
            <v>0</v>
          </cell>
        </row>
        <row r="208">
          <cell r="D208" t="str">
            <v>Chemical Musk 305NP</v>
          </cell>
          <cell r="O208">
            <v>0</v>
          </cell>
        </row>
        <row r="209">
          <cell r="D209" t="str">
            <v>Correction Pen</v>
          </cell>
          <cell r="O209">
            <v>5</v>
          </cell>
        </row>
        <row r="210">
          <cell r="D210" t="str">
            <v>Cotton Bar</v>
          </cell>
          <cell r="O210">
            <v>1</v>
          </cell>
        </row>
        <row r="211">
          <cell r="D211" t="str">
            <v>Denim Pen-09</v>
          </cell>
          <cell r="O211">
            <v>0</v>
          </cell>
        </row>
        <row r="212">
          <cell r="D212" t="str">
            <v>Denim Pen-53</v>
          </cell>
          <cell r="O212">
            <v>0</v>
          </cell>
        </row>
        <row r="213">
          <cell r="D213" t="str">
            <v>Denim Pen-74</v>
          </cell>
          <cell r="O213">
            <v>0</v>
          </cell>
        </row>
        <row r="214">
          <cell r="D214" t="str">
            <v>Denim Pen-803</v>
          </cell>
          <cell r="O214">
            <v>0</v>
          </cell>
        </row>
        <row r="215">
          <cell r="D215" t="str">
            <v>Denim Pen-805</v>
          </cell>
          <cell r="O215">
            <v>0</v>
          </cell>
        </row>
        <row r="216">
          <cell r="D216" t="str">
            <v>Denim Pen-82</v>
          </cell>
          <cell r="O216">
            <v>0</v>
          </cell>
        </row>
        <row r="217">
          <cell r="D217" t="str">
            <v>Denim Pen-83</v>
          </cell>
          <cell r="O217">
            <v>0</v>
          </cell>
        </row>
        <row r="218">
          <cell r="D218" t="str">
            <v>Denim Pen-84</v>
          </cell>
          <cell r="O218">
            <v>0</v>
          </cell>
        </row>
        <row r="219">
          <cell r="D219" t="str">
            <v>Digital Wall Clock</v>
          </cell>
          <cell r="O219">
            <v>0</v>
          </cell>
        </row>
        <row r="220">
          <cell r="D220" t="str">
            <v>Door Lock Round</v>
          </cell>
          <cell r="O220">
            <v>0</v>
          </cell>
        </row>
        <row r="221">
          <cell r="D221" t="str">
            <v>Electric Ketly</v>
          </cell>
          <cell r="O221">
            <v>0</v>
          </cell>
        </row>
        <row r="222">
          <cell r="D222" t="str">
            <v xml:space="preserve">Envelup-25x32 </v>
          </cell>
          <cell r="O222">
            <v>0</v>
          </cell>
        </row>
        <row r="223">
          <cell r="D223" t="str">
            <v>Envelup-A4 Size</v>
          </cell>
          <cell r="O223">
            <v>50</v>
          </cell>
        </row>
        <row r="224">
          <cell r="D224" t="str">
            <v>Envelup-Small Size</v>
          </cell>
          <cell r="O224">
            <v>0</v>
          </cell>
        </row>
        <row r="225">
          <cell r="D225" t="str">
            <v>EPSON-003 Refil Ink</v>
          </cell>
          <cell r="O225">
            <v>0</v>
          </cell>
        </row>
        <row r="226">
          <cell r="D226" t="str">
            <v>Ereasser/Rubber</v>
          </cell>
          <cell r="O226">
            <v>67</v>
          </cell>
        </row>
        <row r="227">
          <cell r="D227" t="str">
            <v>Fabrics For Fire Afron</v>
          </cell>
          <cell r="O227">
            <v>0</v>
          </cell>
        </row>
        <row r="228">
          <cell r="D228" t="str">
            <v>Fabrics Stock Register</v>
          </cell>
          <cell r="O228">
            <v>0</v>
          </cell>
        </row>
        <row r="229">
          <cell r="D229" t="str">
            <v>File Gallery</v>
          </cell>
          <cell r="O229">
            <v>1</v>
          </cell>
        </row>
        <row r="230">
          <cell r="D230" t="str">
            <v>Gel Pen-White</v>
          </cell>
          <cell r="O230">
            <v>0</v>
          </cell>
        </row>
        <row r="231">
          <cell r="D231" t="str">
            <v>Glue Stick-15gm</v>
          </cell>
          <cell r="O231">
            <v>1</v>
          </cell>
        </row>
        <row r="232">
          <cell r="D232" t="str">
            <v>Glue Stick-21gm</v>
          </cell>
          <cell r="O232">
            <v>3</v>
          </cell>
        </row>
        <row r="233">
          <cell r="D233" t="str">
            <v>Hear Pin</v>
          </cell>
          <cell r="O233">
            <v>0</v>
          </cell>
        </row>
        <row r="234">
          <cell r="D234" t="str">
            <v>Hi-Light Pen-Blue</v>
          </cell>
          <cell r="O234">
            <v>0</v>
          </cell>
        </row>
        <row r="235">
          <cell r="D235" t="str">
            <v>Hi-Light Pen-Green</v>
          </cell>
          <cell r="O235">
            <v>4</v>
          </cell>
        </row>
        <row r="236">
          <cell r="D236" t="str">
            <v>Hi-Light Pen-Red</v>
          </cell>
          <cell r="O236">
            <v>1</v>
          </cell>
        </row>
        <row r="237">
          <cell r="D237" t="str">
            <v>Hi-Light Pen-Yellow</v>
          </cell>
          <cell r="O237">
            <v>3</v>
          </cell>
        </row>
        <row r="238">
          <cell r="D238" t="str">
            <v>HP GT53 Black  Ink</v>
          </cell>
          <cell r="O238">
            <v>0</v>
          </cell>
        </row>
        <row r="239">
          <cell r="D239" t="str">
            <v>Humana Apparels Register -400 Pge</v>
          </cell>
          <cell r="O239">
            <v>0</v>
          </cell>
        </row>
        <row r="240">
          <cell r="D240" t="str">
            <v>Humana Note Book</v>
          </cell>
          <cell r="O240">
            <v>0</v>
          </cell>
        </row>
        <row r="241">
          <cell r="D241" t="str">
            <v>ID Card Punch Machine (Big)</v>
          </cell>
          <cell r="O241">
            <v>0</v>
          </cell>
        </row>
        <row r="242">
          <cell r="D242" t="str">
            <v>ID Card Punch Machine (Small)</v>
          </cell>
          <cell r="O242">
            <v>0</v>
          </cell>
        </row>
        <row r="243">
          <cell r="D243" t="str">
            <v>Kitchin Room Sink-36x18"</v>
          </cell>
          <cell r="O243">
            <v>0</v>
          </cell>
        </row>
        <row r="244">
          <cell r="D244" t="str">
            <v>Laminating Paper Legal Size</v>
          </cell>
          <cell r="O244">
            <v>0</v>
          </cell>
        </row>
        <row r="245">
          <cell r="D245" t="str">
            <v>Laminating Paper-A4 Size</v>
          </cell>
          <cell r="O245">
            <v>1</v>
          </cell>
        </row>
        <row r="246">
          <cell r="D246" t="str">
            <v>Laminating Paper-ID Card Size</v>
          </cell>
          <cell r="O246">
            <v>0</v>
          </cell>
        </row>
        <row r="247">
          <cell r="D247" t="str">
            <v>Layout Plan Design Drawing</v>
          </cell>
          <cell r="O247">
            <v>0</v>
          </cell>
        </row>
        <row r="248">
          <cell r="D248" t="str">
            <v>Lead Pencil Refill-0.5mm</v>
          </cell>
          <cell r="O248">
            <v>0</v>
          </cell>
        </row>
        <row r="249">
          <cell r="D249" t="str">
            <v>Lead Pencil Refill-0.7mm</v>
          </cell>
          <cell r="O249">
            <v>0</v>
          </cell>
        </row>
        <row r="250">
          <cell r="D250" t="str">
            <v>Lead Pencil-0.5mm</v>
          </cell>
          <cell r="O250">
            <v>4</v>
          </cell>
        </row>
        <row r="251">
          <cell r="D251" t="str">
            <v>Ledger Register-16</v>
          </cell>
          <cell r="O251">
            <v>0</v>
          </cell>
        </row>
        <row r="252">
          <cell r="D252" t="str">
            <v>Lock &amp;Key</v>
          </cell>
          <cell r="O252">
            <v>0</v>
          </cell>
        </row>
        <row r="253">
          <cell r="D253" t="str">
            <v>Lock &amp;Key( Big)</v>
          </cell>
          <cell r="O253">
            <v>0</v>
          </cell>
        </row>
        <row r="254">
          <cell r="D254" t="str">
            <v>Lock Pin (Black)-07"</v>
          </cell>
          <cell r="O254">
            <v>0</v>
          </cell>
        </row>
        <row r="255">
          <cell r="D255" t="str">
            <v>Lock Pin (White)-07"</v>
          </cell>
          <cell r="O255">
            <v>10</v>
          </cell>
        </row>
        <row r="256">
          <cell r="D256" t="str">
            <v>M/C Tuli Brush-01"</v>
          </cell>
          <cell r="O256">
            <v>0</v>
          </cell>
        </row>
        <row r="257">
          <cell r="D257" t="str">
            <v>Magic Chaco Ace Pen</v>
          </cell>
          <cell r="O257">
            <v>0</v>
          </cell>
        </row>
        <row r="258">
          <cell r="D258" t="str">
            <v>Magic Pen Blue</v>
          </cell>
          <cell r="O258">
            <v>35</v>
          </cell>
        </row>
        <row r="259">
          <cell r="D259" t="str">
            <v>Medical Door Curtain</v>
          </cell>
          <cell r="O259">
            <v>0</v>
          </cell>
        </row>
        <row r="260">
          <cell r="D260" t="str">
            <v>Medical Room Parition</v>
          </cell>
          <cell r="O260">
            <v>0</v>
          </cell>
        </row>
        <row r="261">
          <cell r="D261" t="str">
            <v>Mineral Water-330ml</v>
          </cell>
          <cell r="O261">
            <v>1080</v>
          </cell>
        </row>
        <row r="262">
          <cell r="D262" t="str">
            <v>Mineral Water-500ml</v>
          </cell>
          <cell r="O262">
            <v>0</v>
          </cell>
        </row>
        <row r="263">
          <cell r="D263" t="str">
            <v>Office Paper File</v>
          </cell>
          <cell r="O263">
            <v>101</v>
          </cell>
        </row>
        <row r="264">
          <cell r="D264" t="str">
            <v>Offset Paper-A4 Size</v>
          </cell>
          <cell r="O264">
            <v>100</v>
          </cell>
        </row>
        <row r="265">
          <cell r="D265" t="str">
            <v>Offset Paper-Legal Size</v>
          </cell>
          <cell r="O265">
            <v>2</v>
          </cell>
        </row>
        <row r="266">
          <cell r="D266" t="str">
            <v>Paper Basket</v>
          </cell>
          <cell r="O266">
            <v>5</v>
          </cell>
        </row>
        <row r="267">
          <cell r="D267" t="str">
            <v>Paper Box File</v>
          </cell>
          <cell r="O267">
            <v>3</v>
          </cell>
        </row>
        <row r="268">
          <cell r="D268" t="str">
            <v>Paper Busket Metal</v>
          </cell>
          <cell r="O268">
            <v>0</v>
          </cell>
        </row>
        <row r="269">
          <cell r="D269" t="str">
            <v>Paper Weight</v>
          </cell>
          <cell r="O269">
            <v>0</v>
          </cell>
        </row>
        <row r="270">
          <cell r="D270" t="str">
            <v>Pencil Battery AA</v>
          </cell>
          <cell r="O270">
            <v>0</v>
          </cell>
        </row>
        <row r="271">
          <cell r="D271" t="str">
            <v>Pencil Battery AAA</v>
          </cell>
          <cell r="O271">
            <v>7</v>
          </cell>
        </row>
        <row r="272">
          <cell r="D272" t="str">
            <v>Pencil Cutter/ Sharpner</v>
          </cell>
          <cell r="O272">
            <v>55</v>
          </cell>
        </row>
        <row r="273">
          <cell r="D273" t="str">
            <v>Pin Remover</v>
          </cell>
          <cell r="O273">
            <v>0</v>
          </cell>
        </row>
        <row r="274">
          <cell r="D274" t="str">
            <v>Plastic Cargo Box-30 Ltr</v>
          </cell>
          <cell r="O274">
            <v>0</v>
          </cell>
        </row>
        <row r="275">
          <cell r="D275" t="str">
            <v>Plastic Cargo Box-70 Ltr</v>
          </cell>
          <cell r="O275">
            <v>0</v>
          </cell>
        </row>
        <row r="276">
          <cell r="D276" t="str">
            <v>Plastic Cargo Box-80 Ltr</v>
          </cell>
          <cell r="O276">
            <v>0</v>
          </cell>
        </row>
        <row r="277">
          <cell r="D277" t="str">
            <v>Plastic Clip</v>
          </cell>
          <cell r="O277">
            <v>0</v>
          </cell>
        </row>
        <row r="278">
          <cell r="D278" t="str">
            <v>Plastic File Folder-01"</v>
          </cell>
          <cell r="O278">
            <v>2</v>
          </cell>
        </row>
        <row r="279">
          <cell r="D279" t="str">
            <v>Plastic Floor Mat</v>
          </cell>
          <cell r="O279">
            <v>200</v>
          </cell>
        </row>
        <row r="280">
          <cell r="D280" t="str">
            <v>Plastic Magazine File</v>
          </cell>
          <cell r="O280">
            <v>13</v>
          </cell>
        </row>
        <row r="281">
          <cell r="D281" t="str">
            <v>Plastic Pvc Net</v>
          </cell>
          <cell r="O281">
            <v>0</v>
          </cell>
        </row>
        <row r="282">
          <cell r="D282" t="str">
            <v>Plastic Report File</v>
          </cell>
          <cell r="O282">
            <v>32</v>
          </cell>
        </row>
        <row r="283">
          <cell r="D283" t="str">
            <v>Prayer Mat</v>
          </cell>
          <cell r="O283">
            <v>0</v>
          </cell>
        </row>
        <row r="284">
          <cell r="D284" t="str">
            <v>Printer Cartridge-87 A</v>
          </cell>
          <cell r="O284">
            <v>0</v>
          </cell>
        </row>
        <row r="285">
          <cell r="D285" t="str">
            <v>Printer Cartridge-HP 45</v>
          </cell>
          <cell r="O285">
            <v>12</v>
          </cell>
        </row>
        <row r="286">
          <cell r="D286" t="str">
            <v>Printer Cartridge-LBP 6030</v>
          </cell>
          <cell r="O286">
            <v>2</v>
          </cell>
        </row>
        <row r="287">
          <cell r="D287" t="str">
            <v>Printer Cartridge-LBP 6030W</v>
          </cell>
          <cell r="O287">
            <v>3</v>
          </cell>
        </row>
        <row r="288">
          <cell r="D288" t="str">
            <v>Punch Machine-DP 280</v>
          </cell>
          <cell r="O288">
            <v>3</v>
          </cell>
        </row>
        <row r="289">
          <cell r="D289" t="str">
            <v>Punch Machine-DP 700</v>
          </cell>
          <cell r="O289">
            <v>1</v>
          </cell>
        </row>
        <row r="290">
          <cell r="D290" t="str">
            <v>Push Pin</v>
          </cell>
          <cell r="O290">
            <v>0</v>
          </cell>
        </row>
        <row r="291">
          <cell r="D291" t="str">
            <v>Pvc Banner-8'x4'</v>
          </cell>
          <cell r="O291">
            <v>0</v>
          </cell>
        </row>
        <row r="292">
          <cell r="D292" t="str">
            <v>Rabber Mate (132"x39")</v>
          </cell>
          <cell r="O292">
            <v>0</v>
          </cell>
        </row>
        <row r="293">
          <cell r="D293" t="str">
            <v>Rabber Mate (30x40)"</v>
          </cell>
          <cell r="O293">
            <v>0</v>
          </cell>
        </row>
        <row r="294">
          <cell r="D294" t="str">
            <v>Red Paint</v>
          </cell>
          <cell r="O294">
            <v>0</v>
          </cell>
        </row>
        <row r="295">
          <cell r="D295" t="str">
            <v>Register Khata-40</v>
          </cell>
          <cell r="O295">
            <v>21</v>
          </cell>
        </row>
        <row r="296">
          <cell r="D296" t="str">
            <v>Ring File/Clip File-01"</v>
          </cell>
          <cell r="O296">
            <v>0</v>
          </cell>
        </row>
        <row r="297">
          <cell r="D297" t="str">
            <v>Ring File/Clip File-02"</v>
          </cell>
          <cell r="O297">
            <v>3</v>
          </cell>
        </row>
        <row r="298">
          <cell r="D298" t="str">
            <v>Ring File/Clip File-03"</v>
          </cell>
          <cell r="O298">
            <v>42</v>
          </cell>
        </row>
        <row r="299">
          <cell r="D299" t="str">
            <v>Roller Brush-04"</v>
          </cell>
          <cell r="O299">
            <v>0</v>
          </cell>
        </row>
        <row r="300">
          <cell r="D300" t="str">
            <v>Rope</v>
          </cell>
          <cell r="O300">
            <v>18.3</v>
          </cell>
        </row>
        <row r="301">
          <cell r="D301" t="str">
            <v>Round Lock-85mm</v>
          </cell>
          <cell r="O301">
            <v>0</v>
          </cell>
        </row>
        <row r="302">
          <cell r="D302" t="str">
            <v>Rubber Seal Narmal</v>
          </cell>
          <cell r="O302">
            <v>0</v>
          </cell>
        </row>
        <row r="303">
          <cell r="D303" t="str">
            <v>Rubber Seal Narmal-20mm</v>
          </cell>
          <cell r="O303">
            <v>0</v>
          </cell>
        </row>
        <row r="304">
          <cell r="D304" t="str">
            <v>Rubber Seal Narmal-64x22mm</v>
          </cell>
          <cell r="O304">
            <v>0</v>
          </cell>
        </row>
        <row r="305">
          <cell r="D305" t="str">
            <v>Rubber Seal Narmal-84x40mm</v>
          </cell>
          <cell r="O305">
            <v>0</v>
          </cell>
        </row>
        <row r="306">
          <cell r="D306" t="str">
            <v>Safety Pin</v>
          </cell>
          <cell r="O306">
            <v>0</v>
          </cell>
        </row>
        <row r="307">
          <cell r="D307" t="str">
            <v>School Bag</v>
          </cell>
          <cell r="O307">
            <v>0</v>
          </cell>
        </row>
        <row r="308">
          <cell r="D308" t="str">
            <v>Self Inking Stamp Refil Ink-30ml</v>
          </cell>
          <cell r="O308">
            <v>2</v>
          </cell>
        </row>
        <row r="309">
          <cell r="D309" t="str">
            <v>Self Inking Stamp-Auto</v>
          </cell>
          <cell r="O309">
            <v>0</v>
          </cell>
        </row>
        <row r="310">
          <cell r="D310" t="str">
            <v>Sheet Protector</v>
          </cell>
          <cell r="O310">
            <v>400</v>
          </cell>
        </row>
        <row r="311">
          <cell r="D311" t="str">
            <v>Shoe Polish</v>
          </cell>
          <cell r="O311">
            <v>0</v>
          </cell>
        </row>
        <row r="312">
          <cell r="D312" t="str">
            <v>Socks For Sequrity</v>
          </cell>
          <cell r="O312">
            <v>0</v>
          </cell>
        </row>
        <row r="313">
          <cell r="D313" t="str">
            <v>Staff ID Card</v>
          </cell>
          <cell r="O313">
            <v>0</v>
          </cell>
        </row>
        <row r="314">
          <cell r="D314" t="str">
            <v>Stamp Pad No-02</v>
          </cell>
          <cell r="O314">
            <v>0</v>
          </cell>
        </row>
        <row r="315">
          <cell r="D315" t="str">
            <v>Stapler</v>
          </cell>
          <cell r="O315">
            <v>0</v>
          </cell>
        </row>
        <row r="316">
          <cell r="D316" t="str">
            <v>Stapler pin</v>
          </cell>
          <cell r="O316">
            <v>0</v>
          </cell>
        </row>
        <row r="317">
          <cell r="D317" t="str">
            <v>Steel Scale-06"</v>
          </cell>
          <cell r="O317">
            <v>0</v>
          </cell>
        </row>
        <row r="318">
          <cell r="D318" t="str">
            <v>Steel Scale-12"</v>
          </cell>
          <cell r="O318">
            <v>1</v>
          </cell>
        </row>
        <row r="319">
          <cell r="D319" t="str">
            <v>Steel Scale-24"</v>
          </cell>
          <cell r="O319">
            <v>0</v>
          </cell>
        </row>
        <row r="320">
          <cell r="D320" t="str">
            <v>Steel Scale-40"</v>
          </cell>
          <cell r="O320">
            <v>0</v>
          </cell>
        </row>
        <row r="321">
          <cell r="D321" t="str">
            <v>Stick Up Liquid Glue-50ml</v>
          </cell>
          <cell r="O321">
            <v>0</v>
          </cell>
        </row>
        <row r="322">
          <cell r="D322" t="str">
            <v>Sticky Notebook</v>
          </cell>
          <cell r="O322">
            <v>4</v>
          </cell>
        </row>
        <row r="323">
          <cell r="D323" t="str">
            <v>Stock Register-10</v>
          </cell>
          <cell r="O323">
            <v>0</v>
          </cell>
        </row>
        <row r="324">
          <cell r="D324" t="str">
            <v>Stock Register-16</v>
          </cell>
          <cell r="O324">
            <v>0</v>
          </cell>
        </row>
        <row r="325">
          <cell r="D325" t="str">
            <v>Stock Register-20</v>
          </cell>
          <cell r="O325">
            <v>4</v>
          </cell>
        </row>
        <row r="326">
          <cell r="D326" t="str">
            <v>Stock Register-30</v>
          </cell>
          <cell r="O326">
            <v>0</v>
          </cell>
        </row>
        <row r="327">
          <cell r="D327" t="str">
            <v>Stuff ID Card Holder</v>
          </cell>
          <cell r="O327">
            <v>0</v>
          </cell>
        </row>
        <row r="328">
          <cell r="D328" t="str">
            <v>Surgical Face Mask</v>
          </cell>
          <cell r="O328">
            <v>22</v>
          </cell>
        </row>
        <row r="329">
          <cell r="D329" t="str">
            <v>Surgical Hand Gloves</v>
          </cell>
          <cell r="O329">
            <v>0</v>
          </cell>
        </row>
        <row r="330">
          <cell r="D330" t="str">
            <v>Tag Pin-125mm</v>
          </cell>
          <cell r="O330">
            <v>0</v>
          </cell>
        </row>
        <row r="331">
          <cell r="D331" t="str">
            <v>Tag Pin-15mm</v>
          </cell>
          <cell r="O331">
            <v>0</v>
          </cell>
        </row>
        <row r="332">
          <cell r="D332" t="str">
            <v>Tag Pin-5mm</v>
          </cell>
          <cell r="O332">
            <v>0</v>
          </cell>
        </row>
        <row r="333">
          <cell r="D333" t="str">
            <v>Tea Bag</v>
          </cell>
          <cell r="O333">
            <v>0</v>
          </cell>
        </row>
        <row r="334">
          <cell r="D334" t="str">
            <v>Thermo Paper</v>
          </cell>
          <cell r="O334">
            <v>4</v>
          </cell>
        </row>
        <row r="335">
          <cell r="D335" t="str">
            <v>Tooth Brush</v>
          </cell>
          <cell r="O335">
            <v>4</v>
          </cell>
        </row>
        <row r="336">
          <cell r="D336" t="str">
            <v xml:space="preserve">Vernier Scale Battery </v>
          </cell>
          <cell r="O336">
            <v>0</v>
          </cell>
        </row>
        <row r="337">
          <cell r="D337" t="str">
            <v>Visiting Card</v>
          </cell>
          <cell r="O337">
            <v>0</v>
          </cell>
        </row>
        <row r="338">
          <cell r="D338" t="str">
            <v>Visiting Card Holder</v>
          </cell>
          <cell r="O338">
            <v>0</v>
          </cell>
        </row>
        <row r="339">
          <cell r="D339" t="str">
            <v>Wall Clock-14"</v>
          </cell>
          <cell r="O339">
            <v>0</v>
          </cell>
        </row>
        <row r="340">
          <cell r="D340" t="str">
            <v>Warning Tape-3"</v>
          </cell>
          <cell r="O340">
            <v>0</v>
          </cell>
        </row>
        <row r="341">
          <cell r="D341" t="str">
            <v>Worker ID Card Ribbon Printed-1.5cm</v>
          </cell>
          <cell r="O341">
            <v>0</v>
          </cell>
        </row>
        <row r="342">
          <cell r="D342" t="str">
            <v>Yellow Paint</v>
          </cell>
          <cell r="O342">
            <v>0</v>
          </cell>
        </row>
        <row r="343">
          <cell r="D343" t="str">
            <v>Abrasive Belt</v>
          </cell>
          <cell r="O343">
            <v>4</v>
          </cell>
        </row>
        <row r="344">
          <cell r="D344" t="str">
            <v>Anty Cutter Knife-18mm</v>
          </cell>
          <cell r="O344">
            <v>4</v>
          </cell>
        </row>
        <row r="345">
          <cell r="D345" t="str">
            <v>Anty Cutter-18mm</v>
          </cell>
          <cell r="O345">
            <v>4</v>
          </cell>
        </row>
        <row r="346">
          <cell r="D346" t="str">
            <v>Anty Cutter-5mm</v>
          </cell>
          <cell r="O346">
            <v>0</v>
          </cell>
        </row>
        <row r="347">
          <cell r="D347" t="str">
            <v>Arrow Sticker</v>
          </cell>
          <cell r="O347">
            <v>28</v>
          </cell>
        </row>
        <row r="348">
          <cell r="D348" t="str">
            <v>Artist Braush -1"</v>
          </cell>
          <cell r="O348">
            <v>0</v>
          </cell>
        </row>
        <row r="349">
          <cell r="D349" t="str">
            <v>B/T Stitch Opener</v>
          </cell>
          <cell r="O349">
            <v>0</v>
          </cell>
        </row>
        <row r="350">
          <cell r="D350" t="str">
            <v>Bin Card</v>
          </cell>
          <cell r="O350">
            <v>0</v>
          </cell>
        </row>
        <row r="351">
          <cell r="D351" t="str">
            <v>Board Pin/Top Kata</v>
          </cell>
          <cell r="O351">
            <v>100</v>
          </cell>
        </row>
        <row r="352">
          <cell r="D352" t="str">
            <v>Bokrom for Template</v>
          </cell>
          <cell r="O352">
            <v>0</v>
          </cell>
        </row>
        <row r="353">
          <cell r="D353" t="str">
            <v>Bolt Seal Lock</v>
          </cell>
          <cell r="O353">
            <v>0</v>
          </cell>
        </row>
        <row r="354">
          <cell r="D354" t="str">
            <v>Bone Cutting Scissors</v>
          </cell>
          <cell r="O354">
            <v>10</v>
          </cell>
        </row>
        <row r="355">
          <cell r="D355" t="str">
            <v>Both Side Tape 01cm White</v>
          </cell>
          <cell r="O355">
            <v>416</v>
          </cell>
        </row>
        <row r="356">
          <cell r="D356" t="str">
            <v>Both Side Tape 01cm Yellow</v>
          </cell>
          <cell r="O356">
            <v>922</v>
          </cell>
        </row>
        <row r="357">
          <cell r="D357" t="str">
            <v>C/M Auto Numbering Machine</v>
          </cell>
          <cell r="O357">
            <v>0</v>
          </cell>
        </row>
        <row r="358">
          <cell r="D358" t="str">
            <v>C/M Metal Hand Gloves</v>
          </cell>
          <cell r="O358">
            <v>2</v>
          </cell>
        </row>
        <row r="359">
          <cell r="D359" t="str">
            <v>C/M Numbering Ink-Black</v>
          </cell>
          <cell r="O359">
            <v>0</v>
          </cell>
        </row>
        <row r="360">
          <cell r="D360" t="str">
            <v>C/M Numbering Ink-Red</v>
          </cell>
          <cell r="O360">
            <v>0</v>
          </cell>
        </row>
        <row r="361">
          <cell r="D361" t="str">
            <v>C/M Numbering Ink-Silver</v>
          </cell>
          <cell r="O361">
            <v>1</v>
          </cell>
        </row>
        <row r="362">
          <cell r="D362" t="str">
            <v>C/M Numbering Ink-White</v>
          </cell>
          <cell r="O362">
            <v>0</v>
          </cell>
        </row>
        <row r="363">
          <cell r="D363" t="str">
            <v>C/M Numbering Machine-08 Digit</v>
          </cell>
          <cell r="O363">
            <v>5</v>
          </cell>
        </row>
        <row r="364">
          <cell r="D364" t="str">
            <v>C/M Numbering Sticker-Medium</v>
          </cell>
          <cell r="O364">
            <v>298</v>
          </cell>
        </row>
        <row r="365">
          <cell r="D365" t="str">
            <v>C/M Numbering Sticker-PPH</v>
          </cell>
          <cell r="O365">
            <v>0</v>
          </cell>
        </row>
        <row r="366">
          <cell r="D366" t="str">
            <v>C/M Sticker Ink/Blitz Ink</v>
          </cell>
          <cell r="O366">
            <v>10</v>
          </cell>
        </row>
        <row r="367">
          <cell r="D367" t="str">
            <v>Candle/Mom</v>
          </cell>
          <cell r="O367">
            <v>5</v>
          </cell>
        </row>
        <row r="368">
          <cell r="D368" t="str">
            <v>CD-DVD Marker Pen</v>
          </cell>
          <cell r="O368">
            <v>95</v>
          </cell>
        </row>
        <row r="369">
          <cell r="D369" t="str">
            <v>Clip Board/Hard Board</v>
          </cell>
          <cell r="O369">
            <v>8</v>
          </cell>
        </row>
        <row r="370">
          <cell r="D370" t="str">
            <v>Cooling Water</v>
          </cell>
          <cell r="O370">
            <v>0</v>
          </cell>
        </row>
        <row r="371">
          <cell r="D371" t="str">
            <v>Cotton Hand Gloves</v>
          </cell>
          <cell r="O371">
            <v>0</v>
          </cell>
        </row>
        <row r="372">
          <cell r="D372" t="str">
            <v>Cutting Clip/Clamp-08"</v>
          </cell>
          <cell r="O372">
            <v>24</v>
          </cell>
        </row>
        <row r="373">
          <cell r="D373" t="str">
            <v>Cutting Knife-06"</v>
          </cell>
          <cell r="O373">
            <v>3</v>
          </cell>
        </row>
        <row r="374">
          <cell r="D374" t="str">
            <v>Cutting Knife-08"</v>
          </cell>
          <cell r="O374">
            <v>67</v>
          </cell>
        </row>
        <row r="375">
          <cell r="D375" t="str">
            <v>Cutting Knife-10"</v>
          </cell>
          <cell r="O375">
            <v>13</v>
          </cell>
        </row>
        <row r="376">
          <cell r="D376" t="str">
            <v>Drill M/C Charger</v>
          </cell>
          <cell r="O376">
            <v>0</v>
          </cell>
        </row>
        <row r="377">
          <cell r="D377" t="str">
            <v>Ear Plug</v>
          </cell>
          <cell r="O377">
            <v>0</v>
          </cell>
        </row>
        <row r="378">
          <cell r="D378" t="str">
            <v>Ear Plug-3mm</v>
          </cell>
          <cell r="O378">
            <v>0</v>
          </cell>
        </row>
        <row r="379">
          <cell r="D379" t="str">
            <v>Finger Balloon</v>
          </cell>
          <cell r="O379">
            <v>600</v>
          </cell>
        </row>
        <row r="380">
          <cell r="D380" t="str">
            <v>Foam Tape-3.4 Feet</v>
          </cell>
          <cell r="O380">
            <v>420</v>
          </cell>
        </row>
        <row r="381">
          <cell r="D381" t="str">
            <v>Fushing Machine Suppoting Table Stand</v>
          </cell>
          <cell r="O381">
            <v>0</v>
          </cell>
        </row>
        <row r="382">
          <cell r="D382" t="str">
            <v>Fusing  Machine Powder</v>
          </cell>
          <cell r="O382">
            <v>0</v>
          </cell>
        </row>
        <row r="383">
          <cell r="D383" t="str">
            <v>Garments Basket-150 Ltr</v>
          </cell>
          <cell r="O383">
            <v>0</v>
          </cell>
        </row>
        <row r="384">
          <cell r="D384" t="str">
            <v>Garments Basket-200 Ltr</v>
          </cell>
          <cell r="O384">
            <v>0</v>
          </cell>
        </row>
        <row r="385">
          <cell r="D385" t="str">
            <v>Gel Pen-Black</v>
          </cell>
          <cell r="O385">
            <v>10</v>
          </cell>
        </row>
        <row r="386">
          <cell r="D386" t="str">
            <v>Gel Pen-Blue</v>
          </cell>
          <cell r="O386">
            <v>11</v>
          </cell>
        </row>
        <row r="387">
          <cell r="D387" t="str">
            <v>Gel Pen-Green</v>
          </cell>
          <cell r="O387">
            <v>0</v>
          </cell>
        </row>
        <row r="388">
          <cell r="D388" t="str">
            <v>Gel Pen-Red</v>
          </cell>
          <cell r="O388">
            <v>8</v>
          </cell>
        </row>
        <row r="389">
          <cell r="D389" t="str">
            <v>Gel Pen-Silver</v>
          </cell>
          <cell r="O389">
            <v>226</v>
          </cell>
        </row>
        <row r="390">
          <cell r="D390" t="str">
            <v>Glass Marking Pencil</v>
          </cell>
          <cell r="O390">
            <v>40</v>
          </cell>
        </row>
        <row r="391">
          <cell r="D391" t="str">
            <v>Grading Scale-18"</v>
          </cell>
          <cell r="O391">
            <v>0</v>
          </cell>
        </row>
        <row r="392">
          <cell r="D392" t="str">
            <v>GSM Cutter Blade</v>
          </cell>
          <cell r="O392">
            <v>5</v>
          </cell>
        </row>
        <row r="393">
          <cell r="D393" t="str">
            <v>GSM Cutter Board-Round</v>
          </cell>
          <cell r="O393">
            <v>0</v>
          </cell>
        </row>
        <row r="394">
          <cell r="D394" t="str">
            <v>GSM Cutter Machine</v>
          </cell>
          <cell r="O394">
            <v>0</v>
          </cell>
        </row>
        <row r="395">
          <cell r="D395" t="str">
            <v>Gum Tape 0.5" Transparent</v>
          </cell>
          <cell r="O395">
            <v>0</v>
          </cell>
        </row>
        <row r="396">
          <cell r="D396" t="str">
            <v>Gum Tape 01" Transparent</v>
          </cell>
          <cell r="O396">
            <v>313</v>
          </cell>
        </row>
        <row r="397">
          <cell r="D397" t="str">
            <v>Gum Tape 03" Transparent</v>
          </cell>
          <cell r="O397">
            <v>8</v>
          </cell>
        </row>
        <row r="398">
          <cell r="D398" t="str">
            <v>Gum Tape 2.5" Green</v>
          </cell>
          <cell r="O398">
            <v>10</v>
          </cell>
        </row>
        <row r="399">
          <cell r="D399" t="str">
            <v>Gum Tape 2.5" Transparent</v>
          </cell>
          <cell r="O399">
            <v>344</v>
          </cell>
        </row>
        <row r="400">
          <cell r="D400" t="str">
            <v>Gum Tape 2.5" Yellow</v>
          </cell>
          <cell r="O400">
            <v>0</v>
          </cell>
        </row>
        <row r="401">
          <cell r="D401" t="str">
            <v>Hammer Rubber 450gm</v>
          </cell>
          <cell r="O401">
            <v>1</v>
          </cell>
        </row>
        <row r="402">
          <cell r="D402" t="str">
            <v>Hammer Rubber 700gm</v>
          </cell>
          <cell r="O402">
            <v>0</v>
          </cell>
        </row>
        <row r="403">
          <cell r="D403" t="str">
            <v>Humana's Sample Tag</v>
          </cell>
          <cell r="O403">
            <v>100</v>
          </cell>
        </row>
        <row r="404">
          <cell r="D404" t="str">
            <v>Iron Foam</v>
          </cell>
          <cell r="O404">
            <v>0</v>
          </cell>
        </row>
        <row r="405">
          <cell r="D405" t="str">
            <v>Iron Table Fabric</v>
          </cell>
          <cell r="O405">
            <v>297</v>
          </cell>
        </row>
        <row r="406">
          <cell r="D406" t="str">
            <v>Iron Table Fabric-Black</v>
          </cell>
          <cell r="O406">
            <v>0</v>
          </cell>
        </row>
        <row r="407">
          <cell r="D407" t="str">
            <v>Iron Table Fabric-Navy</v>
          </cell>
          <cell r="O407">
            <v>15</v>
          </cell>
        </row>
        <row r="408">
          <cell r="D408" t="str">
            <v>Kerosene Oil</v>
          </cell>
          <cell r="O408">
            <v>0</v>
          </cell>
        </row>
        <row r="409">
          <cell r="D409" t="str">
            <v>Knit Fabrics (Jhute)</v>
          </cell>
          <cell r="O409">
            <v>475.7</v>
          </cell>
        </row>
        <row r="410">
          <cell r="D410" t="str">
            <v>Label Cutting Machine</v>
          </cell>
          <cell r="O410">
            <v>1</v>
          </cell>
        </row>
        <row r="411">
          <cell r="D411" t="str">
            <v>Light Stand</v>
          </cell>
          <cell r="O411">
            <v>0</v>
          </cell>
        </row>
        <row r="412">
          <cell r="D412" t="str">
            <v>Magic Chalk-China</v>
          </cell>
          <cell r="O412">
            <v>0</v>
          </cell>
        </row>
        <row r="413">
          <cell r="D413" t="str">
            <v>Magic Chalk-Rose</v>
          </cell>
          <cell r="O413">
            <v>0</v>
          </cell>
        </row>
        <row r="414">
          <cell r="D414" t="str">
            <v>Magic Pen Red</v>
          </cell>
          <cell r="O414">
            <v>0</v>
          </cell>
        </row>
        <row r="415">
          <cell r="D415" t="str">
            <v>Magic Pen White</v>
          </cell>
          <cell r="O415">
            <v>0</v>
          </cell>
        </row>
        <row r="416">
          <cell r="D416" t="str">
            <v>Magnet Pen</v>
          </cell>
          <cell r="O416">
            <v>0</v>
          </cell>
        </row>
        <row r="417">
          <cell r="D417" t="str">
            <v>Marker Paper (Intake)-64"</v>
          </cell>
          <cell r="O417">
            <v>668.9</v>
          </cell>
        </row>
        <row r="418">
          <cell r="D418" t="str">
            <v>Marker Paper (Intake)-72"</v>
          </cell>
          <cell r="O418">
            <v>0</v>
          </cell>
        </row>
        <row r="419">
          <cell r="D419" t="str">
            <v>Marker Paper (Loose)-64"</v>
          </cell>
          <cell r="O419">
            <v>372</v>
          </cell>
        </row>
        <row r="420">
          <cell r="D420" t="str">
            <v>Marker Pen-Permanent</v>
          </cell>
          <cell r="O420">
            <v>14</v>
          </cell>
        </row>
        <row r="421">
          <cell r="D421" t="str">
            <v>Masking Tape-01"</v>
          </cell>
          <cell r="O421">
            <v>175</v>
          </cell>
        </row>
        <row r="422">
          <cell r="D422" t="str">
            <v>Masking Tape-02"</v>
          </cell>
          <cell r="O422">
            <v>32</v>
          </cell>
        </row>
        <row r="423">
          <cell r="D423" t="str">
            <v>Measurement Tape-Box</v>
          </cell>
          <cell r="O423">
            <v>1</v>
          </cell>
        </row>
        <row r="424">
          <cell r="D424" t="str">
            <v>Measurement Tape-Lace</v>
          </cell>
          <cell r="O424">
            <v>53</v>
          </cell>
        </row>
        <row r="425">
          <cell r="D425" t="str">
            <v>Metal Chiruni</v>
          </cell>
          <cell r="O425">
            <v>0</v>
          </cell>
        </row>
        <row r="426">
          <cell r="D426" t="str">
            <v>Millat Powder</v>
          </cell>
          <cell r="O426">
            <v>17</v>
          </cell>
        </row>
        <row r="427">
          <cell r="D427" t="str">
            <v>Mini Foggar Machine</v>
          </cell>
          <cell r="O427">
            <v>0</v>
          </cell>
        </row>
        <row r="428">
          <cell r="D428" t="str">
            <v xml:space="preserve">NC Thinner  </v>
          </cell>
          <cell r="O428">
            <v>0</v>
          </cell>
        </row>
        <row r="429">
          <cell r="D429" t="str">
            <v>Needle Pot</v>
          </cell>
          <cell r="O429">
            <v>0</v>
          </cell>
        </row>
        <row r="430">
          <cell r="D430" t="str">
            <v>Nepper</v>
          </cell>
          <cell r="O430">
            <v>0</v>
          </cell>
        </row>
        <row r="431">
          <cell r="D431" t="str">
            <v>Non Woven Fuse Interlining</v>
          </cell>
          <cell r="O431">
            <v>0</v>
          </cell>
        </row>
        <row r="432">
          <cell r="D432" t="str">
            <v>Numbering Cutting Tuly</v>
          </cell>
          <cell r="O432">
            <v>5</v>
          </cell>
        </row>
        <row r="433">
          <cell r="D433" t="str">
            <v>O-Emery Paper</v>
          </cell>
          <cell r="O433">
            <v>0</v>
          </cell>
        </row>
        <row r="434">
          <cell r="D434" t="str">
            <v>Paint Brush -1"</v>
          </cell>
          <cell r="O434">
            <v>0</v>
          </cell>
        </row>
        <row r="435">
          <cell r="D435" t="str">
            <v>Paint Color</v>
          </cell>
          <cell r="O435">
            <v>0</v>
          </cell>
        </row>
        <row r="436">
          <cell r="D436" t="str">
            <v>Paint For Thinner</v>
          </cell>
          <cell r="O436">
            <v>0</v>
          </cell>
        </row>
        <row r="437">
          <cell r="D437" t="str">
            <v>Paper Punch Hole machine</v>
          </cell>
          <cell r="O437">
            <v>0</v>
          </cell>
        </row>
        <row r="438">
          <cell r="D438" t="str">
            <v>Paper Tube (60"x40mmx2mm)</v>
          </cell>
          <cell r="O438">
            <v>200</v>
          </cell>
        </row>
        <row r="439">
          <cell r="D439" t="str">
            <v>Pattern Cutting Knife</v>
          </cell>
          <cell r="O439">
            <v>5</v>
          </cell>
        </row>
        <row r="440">
          <cell r="D440" t="str">
            <v>Pattran Hole Punch Machine</v>
          </cell>
          <cell r="O440">
            <v>0</v>
          </cell>
        </row>
        <row r="441">
          <cell r="D441" t="str">
            <v>Plastic Container- 1400ml</v>
          </cell>
          <cell r="O441">
            <v>0</v>
          </cell>
        </row>
        <row r="442">
          <cell r="D442" t="str">
            <v>Plastic Container -3000ml</v>
          </cell>
          <cell r="O442">
            <v>0</v>
          </cell>
        </row>
        <row r="443">
          <cell r="D443" t="str">
            <v>Plastic Hanger</v>
          </cell>
          <cell r="O443">
            <v>0</v>
          </cell>
        </row>
        <row r="444">
          <cell r="D444" t="str">
            <v>Plastic Jems Clip</v>
          </cell>
          <cell r="O444">
            <v>0</v>
          </cell>
        </row>
        <row r="445">
          <cell r="D445" t="str">
            <v>Plastic Packing Belt</v>
          </cell>
          <cell r="O445">
            <v>0</v>
          </cell>
        </row>
        <row r="446">
          <cell r="D446" t="str">
            <v>Plastic Pata Lock</v>
          </cell>
          <cell r="O446">
            <v>0</v>
          </cell>
        </row>
        <row r="447">
          <cell r="D447" t="str">
            <v>Plastic Scissors</v>
          </cell>
          <cell r="O447">
            <v>0</v>
          </cell>
        </row>
        <row r="448">
          <cell r="D448" t="str">
            <v>Plastic Small Pot</v>
          </cell>
          <cell r="O448">
            <v>0</v>
          </cell>
        </row>
        <row r="449">
          <cell r="D449" t="str">
            <v>Plastic Tape</v>
          </cell>
          <cell r="O449">
            <v>0</v>
          </cell>
        </row>
        <row r="450">
          <cell r="D450" t="str">
            <v>Plastric File Trey</v>
          </cell>
          <cell r="O450">
            <v>0</v>
          </cell>
        </row>
        <row r="451">
          <cell r="D451" t="str">
            <v>Poly-16x20 cm</v>
          </cell>
          <cell r="O451">
            <v>0</v>
          </cell>
        </row>
        <row r="452">
          <cell r="D452" t="str">
            <v>Poly-16x25 cm</v>
          </cell>
          <cell r="O452">
            <v>0</v>
          </cell>
        </row>
        <row r="453">
          <cell r="D453" t="str">
            <v>Poly-18 x 26 cm</v>
          </cell>
          <cell r="O453">
            <v>0</v>
          </cell>
        </row>
        <row r="454">
          <cell r="D454" t="str">
            <v>Poly-18x14 cm</v>
          </cell>
          <cell r="O454">
            <v>0</v>
          </cell>
        </row>
        <row r="455">
          <cell r="D455" t="str">
            <v>Poly-20 x 26 cm</v>
          </cell>
          <cell r="O455">
            <v>0</v>
          </cell>
        </row>
        <row r="456">
          <cell r="D456" t="str">
            <v>Poly-20 x 36"</v>
          </cell>
          <cell r="O456">
            <v>0</v>
          </cell>
        </row>
        <row r="457">
          <cell r="D457" t="str">
            <v>Poly-26x36"</v>
          </cell>
          <cell r="O457">
            <v>0</v>
          </cell>
        </row>
        <row r="458">
          <cell r="D458" t="str">
            <v>Poly-26x37 cm</v>
          </cell>
          <cell r="O458">
            <v>0</v>
          </cell>
        </row>
        <row r="459">
          <cell r="D459" t="str">
            <v>Poly-26x42"</v>
          </cell>
          <cell r="O459">
            <v>0</v>
          </cell>
        </row>
        <row r="460">
          <cell r="D460" t="str">
            <v>Poly-30 x 40 cm</v>
          </cell>
          <cell r="O460">
            <v>0</v>
          </cell>
        </row>
        <row r="461">
          <cell r="D461" t="str">
            <v>Poly-32 x 22 cm</v>
          </cell>
          <cell r="O461">
            <v>0</v>
          </cell>
        </row>
        <row r="462">
          <cell r="D462" t="str">
            <v>Poly-50 x 70 cm</v>
          </cell>
          <cell r="O462">
            <v>2.2999999999999998</v>
          </cell>
        </row>
        <row r="463">
          <cell r="D463" t="str">
            <v>Polyethene 90"</v>
          </cell>
          <cell r="O463">
            <v>0</v>
          </cell>
        </row>
        <row r="464">
          <cell r="D464" t="str">
            <v>PP Poly</v>
          </cell>
          <cell r="O464">
            <v>20</v>
          </cell>
        </row>
        <row r="465">
          <cell r="D465" t="str">
            <v>PVC Paint -Black</v>
          </cell>
          <cell r="O465">
            <v>0</v>
          </cell>
        </row>
        <row r="466">
          <cell r="D466" t="str">
            <v>PVC Paint -Blue</v>
          </cell>
          <cell r="O466">
            <v>0</v>
          </cell>
        </row>
        <row r="467">
          <cell r="D467" t="str">
            <v>PVC Paint -Golden Yellow</v>
          </cell>
          <cell r="O467">
            <v>0</v>
          </cell>
        </row>
        <row r="468">
          <cell r="D468" t="str">
            <v>PVC Paint -Green</v>
          </cell>
          <cell r="O468">
            <v>0</v>
          </cell>
        </row>
        <row r="469">
          <cell r="D469" t="str">
            <v>PVC Paint -Horizon Blue</v>
          </cell>
          <cell r="O469">
            <v>0</v>
          </cell>
        </row>
        <row r="470">
          <cell r="D470" t="str">
            <v>PVC Paint -Lemon</v>
          </cell>
          <cell r="O470">
            <v>0</v>
          </cell>
        </row>
        <row r="471">
          <cell r="D471" t="str">
            <v>PVC Paint -Pense Black</v>
          </cell>
          <cell r="O471">
            <v>0</v>
          </cell>
        </row>
        <row r="472">
          <cell r="D472" t="str">
            <v>PVC Paint -Red</v>
          </cell>
          <cell r="O472">
            <v>0</v>
          </cell>
        </row>
        <row r="473">
          <cell r="D473" t="str">
            <v>PVC Paint -Tulip Red</v>
          </cell>
          <cell r="O473">
            <v>0</v>
          </cell>
        </row>
        <row r="474">
          <cell r="D474" t="str">
            <v>PVC Paint -Uro-Merron</v>
          </cell>
          <cell r="O474">
            <v>0</v>
          </cell>
        </row>
        <row r="475">
          <cell r="D475" t="str">
            <v>PVC Paint -Violet</v>
          </cell>
          <cell r="O475">
            <v>0</v>
          </cell>
        </row>
        <row r="476">
          <cell r="D476" t="str">
            <v>PVC Paint -Vivid Green</v>
          </cell>
          <cell r="O476">
            <v>0</v>
          </cell>
        </row>
        <row r="477">
          <cell r="D477" t="str">
            <v>PVC Paint -White</v>
          </cell>
          <cell r="O477">
            <v>0</v>
          </cell>
        </row>
        <row r="478">
          <cell r="D478" t="str">
            <v>Pvc Sheet (6'X3')-0.5mm</v>
          </cell>
          <cell r="O478">
            <v>7</v>
          </cell>
        </row>
        <row r="479">
          <cell r="D479" t="str">
            <v>Pvc Sheet (6'X3')-01mm</v>
          </cell>
          <cell r="O479">
            <v>2</v>
          </cell>
        </row>
        <row r="480">
          <cell r="D480" t="str">
            <v>Pvc Sheet (6'x3')-02mm</v>
          </cell>
          <cell r="O480">
            <v>0</v>
          </cell>
        </row>
        <row r="481">
          <cell r="D481" t="str">
            <v>Pvc Sheet (6'X3')-03mm</v>
          </cell>
          <cell r="O481">
            <v>0</v>
          </cell>
        </row>
        <row r="482">
          <cell r="D482" t="str">
            <v>Pvc Sheet (6'X3')-1.5mm</v>
          </cell>
          <cell r="O482">
            <v>90</v>
          </cell>
        </row>
        <row r="483">
          <cell r="D483" t="str">
            <v>Pvc Sheet (6'X4')-02mm</v>
          </cell>
          <cell r="O483">
            <v>27</v>
          </cell>
        </row>
        <row r="484">
          <cell r="D484" t="str">
            <v>Pvc Sheet (8'X4')-02mm</v>
          </cell>
          <cell r="O484">
            <v>0</v>
          </cell>
        </row>
        <row r="485">
          <cell r="D485" t="str">
            <v>QC Failed Stiker Printed</v>
          </cell>
          <cell r="O485">
            <v>0</v>
          </cell>
        </row>
        <row r="486">
          <cell r="D486" t="str">
            <v>QC Hold Sticker Printed</v>
          </cell>
          <cell r="O486">
            <v>0</v>
          </cell>
        </row>
        <row r="487">
          <cell r="D487" t="str">
            <v>QC Pass Sticker</v>
          </cell>
          <cell r="O487">
            <v>37</v>
          </cell>
        </row>
        <row r="488">
          <cell r="D488" t="str">
            <v>QC Pass Sticker Printed</v>
          </cell>
          <cell r="O488">
            <v>4</v>
          </cell>
        </row>
        <row r="489">
          <cell r="D489" t="str">
            <v>Rechargable Battery -6V</v>
          </cell>
          <cell r="O489">
            <v>0</v>
          </cell>
        </row>
        <row r="490">
          <cell r="D490" t="str">
            <v>Rexine Tape-02"</v>
          </cell>
          <cell r="O490">
            <v>293</v>
          </cell>
        </row>
        <row r="491">
          <cell r="D491" t="str">
            <v xml:space="preserve">Round Sticker </v>
          </cell>
          <cell r="O491">
            <v>300</v>
          </cell>
        </row>
        <row r="492">
          <cell r="D492" t="str">
            <v>Rubban Tin</v>
          </cell>
          <cell r="O492">
            <v>22</v>
          </cell>
        </row>
        <row r="493">
          <cell r="D493" t="str">
            <v>Rubber Band</v>
          </cell>
          <cell r="O493">
            <v>0</v>
          </cell>
        </row>
        <row r="494">
          <cell r="D494" t="str">
            <v>Sandpaper Tape</v>
          </cell>
          <cell r="O494">
            <v>100</v>
          </cell>
        </row>
        <row r="495">
          <cell r="D495" t="str">
            <v>Scissors Pitol-10"</v>
          </cell>
          <cell r="O495">
            <v>0</v>
          </cell>
        </row>
        <row r="496">
          <cell r="D496" t="str">
            <v>Scissors QX-10"</v>
          </cell>
          <cell r="O496">
            <v>5</v>
          </cell>
        </row>
        <row r="497">
          <cell r="D497" t="str">
            <v>Sign Pen-Blue</v>
          </cell>
          <cell r="O497">
            <v>0</v>
          </cell>
        </row>
        <row r="498">
          <cell r="D498" t="str">
            <v>Sign Pen-Red</v>
          </cell>
          <cell r="O498">
            <v>0</v>
          </cell>
        </row>
        <row r="499">
          <cell r="D499" t="str">
            <v>Single Jersy Fabrics</v>
          </cell>
          <cell r="O499">
            <v>138.90000000000003</v>
          </cell>
        </row>
        <row r="500">
          <cell r="D500" t="str">
            <v>Sipa SP110 Paint Marker</v>
          </cell>
          <cell r="O500">
            <v>2</v>
          </cell>
        </row>
        <row r="501">
          <cell r="D501" t="str">
            <v>Soap Chalk</v>
          </cell>
          <cell r="O501">
            <v>17</v>
          </cell>
        </row>
        <row r="502">
          <cell r="D502" t="str">
            <v>Staple Tag Gun Machine Needle</v>
          </cell>
          <cell r="O502">
            <v>0</v>
          </cell>
        </row>
        <row r="503">
          <cell r="D503" t="str">
            <v>Swatch Board-01 Part</v>
          </cell>
          <cell r="O503">
            <v>390</v>
          </cell>
        </row>
        <row r="504">
          <cell r="D504" t="str">
            <v>Synthetic Resin Adhesive</v>
          </cell>
          <cell r="O504">
            <v>7</v>
          </cell>
        </row>
        <row r="505">
          <cell r="D505" t="str">
            <v>Tag Cutter Pin</v>
          </cell>
          <cell r="O505">
            <v>0</v>
          </cell>
        </row>
        <row r="506">
          <cell r="D506" t="str">
            <v>Tailors Chalk</v>
          </cell>
          <cell r="O506">
            <v>129</v>
          </cell>
        </row>
        <row r="507">
          <cell r="D507" t="str">
            <v>Tape Dispenser</v>
          </cell>
          <cell r="O507">
            <v>1</v>
          </cell>
        </row>
        <row r="508">
          <cell r="D508" t="str">
            <v>Taplon Paper Yellow</v>
          </cell>
          <cell r="O508">
            <v>0</v>
          </cell>
        </row>
        <row r="509">
          <cell r="D509" t="str">
            <v>Template Cutter Machine Knife-4.3mm</v>
          </cell>
          <cell r="O509">
            <v>1</v>
          </cell>
        </row>
        <row r="510">
          <cell r="D510" t="str">
            <v>Template Cutter Machine Leather</v>
          </cell>
          <cell r="O510">
            <v>0</v>
          </cell>
        </row>
        <row r="511">
          <cell r="D511" t="str">
            <v>Tex Marker 60ml-Yellow</v>
          </cell>
          <cell r="O511">
            <v>8</v>
          </cell>
        </row>
        <row r="512">
          <cell r="D512" t="str">
            <v>Thinner Gun Machine</v>
          </cell>
          <cell r="O512">
            <v>0</v>
          </cell>
        </row>
        <row r="513">
          <cell r="D513" t="str">
            <v>Thread Cutter</v>
          </cell>
          <cell r="O513">
            <v>490</v>
          </cell>
        </row>
        <row r="514">
          <cell r="D514" t="str">
            <v>Trim Card-02 Part</v>
          </cell>
          <cell r="O514">
            <v>500</v>
          </cell>
        </row>
        <row r="515">
          <cell r="D515" t="str">
            <v xml:space="preserve">Tully Brush </v>
          </cell>
          <cell r="O515">
            <v>0</v>
          </cell>
        </row>
        <row r="516">
          <cell r="D516" t="str">
            <v>Virgin Paper-48"</v>
          </cell>
          <cell r="O516">
            <v>684.8</v>
          </cell>
        </row>
        <row r="517">
          <cell r="D517" t="str">
            <v>Weight Scale (0gm to 600gm)</v>
          </cell>
          <cell r="O517">
            <v>0</v>
          </cell>
        </row>
        <row r="518">
          <cell r="D518" t="str">
            <v>White Board Marker</v>
          </cell>
          <cell r="O518">
            <v>44</v>
          </cell>
        </row>
        <row r="519">
          <cell r="D519" t="str">
            <v>White Sunglass</v>
          </cell>
          <cell r="O519">
            <v>54</v>
          </cell>
        </row>
        <row r="520">
          <cell r="D520" t="str">
            <v>Wood Pencil-2B</v>
          </cell>
          <cell r="O520">
            <v>158</v>
          </cell>
        </row>
        <row r="521">
          <cell r="D521" t="str">
            <v>Wood Pencil-2H</v>
          </cell>
          <cell r="O521">
            <v>0</v>
          </cell>
        </row>
        <row r="522">
          <cell r="D522" t="str">
            <v>Wood Pencil-HB</v>
          </cell>
          <cell r="O522">
            <v>69</v>
          </cell>
        </row>
        <row r="523">
          <cell r="D523" t="str">
            <v>Zigzag Scissor</v>
          </cell>
          <cell r="O523">
            <v>0</v>
          </cell>
        </row>
        <row r="524">
          <cell r="D524" t="str">
            <v>Zimlat/Vromor</v>
          </cell>
          <cell r="O524">
            <v>9</v>
          </cell>
        </row>
        <row r="525">
          <cell r="D525" t="str">
            <v>Zip Poly -3x2</v>
          </cell>
          <cell r="O525">
            <v>7</v>
          </cell>
        </row>
        <row r="526">
          <cell r="D526" t="str">
            <v>Zip Poly-6x4</v>
          </cell>
          <cell r="O526">
            <v>0</v>
          </cell>
        </row>
        <row r="527">
          <cell r="D527" t="str">
            <v>Zip Poly-6x9</v>
          </cell>
          <cell r="O527">
            <v>0</v>
          </cell>
        </row>
        <row r="528">
          <cell r="D528" t="str">
            <v>Angel Stop Cork</v>
          </cell>
          <cell r="O528">
            <v>0</v>
          </cell>
        </row>
        <row r="529">
          <cell r="D529" t="str">
            <v>Basin Magic Pipe-1.1/2</v>
          </cell>
          <cell r="O529">
            <v>0</v>
          </cell>
        </row>
        <row r="530">
          <cell r="D530" t="str">
            <v>Basin West</v>
          </cell>
          <cell r="O530">
            <v>0</v>
          </cell>
        </row>
        <row r="531">
          <cell r="D531" t="str">
            <v>Bleaching Powder</v>
          </cell>
          <cell r="O531">
            <v>25</v>
          </cell>
        </row>
        <row r="532">
          <cell r="D532" t="str">
            <v>Broom Coconut Stick</v>
          </cell>
          <cell r="O532">
            <v>0</v>
          </cell>
        </row>
        <row r="533">
          <cell r="D533" t="str">
            <v>Broom Flower</v>
          </cell>
          <cell r="O533">
            <v>78</v>
          </cell>
        </row>
        <row r="534">
          <cell r="D534" t="str">
            <v>Broom Hanging</v>
          </cell>
          <cell r="O534">
            <v>0</v>
          </cell>
        </row>
        <row r="535">
          <cell r="D535" t="str">
            <v>Connection Pipe</v>
          </cell>
          <cell r="O535">
            <v>0</v>
          </cell>
        </row>
        <row r="536">
          <cell r="D536" t="str">
            <v>Connection Pipe-24"</v>
          </cell>
          <cell r="O536">
            <v>0</v>
          </cell>
        </row>
        <row r="537">
          <cell r="D537" t="str">
            <v>Connection Pipe-28"</v>
          </cell>
          <cell r="O537">
            <v>0</v>
          </cell>
        </row>
        <row r="538">
          <cell r="D538" t="str">
            <v>Connection Pipe-36"</v>
          </cell>
          <cell r="O538">
            <v>0</v>
          </cell>
        </row>
        <row r="539">
          <cell r="D539" t="str">
            <v>Connection Pipe-48"</v>
          </cell>
          <cell r="O539">
            <v>0</v>
          </cell>
        </row>
        <row r="540">
          <cell r="D540" t="str">
            <v>Cosco Soap-Mini</v>
          </cell>
          <cell r="O540">
            <v>318</v>
          </cell>
        </row>
        <row r="541">
          <cell r="D541" t="str">
            <v>Dettol Soap</v>
          </cell>
          <cell r="O541">
            <v>0</v>
          </cell>
        </row>
        <row r="542">
          <cell r="D542" t="str">
            <v>Elegant Floor Mop</v>
          </cell>
          <cell r="O542">
            <v>6</v>
          </cell>
        </row>
        <row r="543">
          <cell r="D543" t="str">
            <v>Expart Dishwash Bar</v>
          </cell>
          <cell r="O543">
            <v>0</v>
          </cell>
        </row>
        <row r="544">
          <cell r="D544" t="str">
            <v>Facial Tissue</v>
          </cell>
          <cell r="O544">
            <v>104</v>
          </cell>
        </row>
        <row r="545">
          <cell r="D545" t="str">
            <v>Finex Floor Cleaner-900ml</v>
          </cell>
          <cell r="O545">
            <v>0</v>
          </cell>
        </row>
        <row r="546">
          <cell r="D546" t="str">
            <v>Floor Cleaner wiper</v>
          </cell>
          <cell r="O546">
            <v>0</v>
          </cell>
        </row>
        <row r="547">
          <cell r="D547" t="str">
            <v>Garbage Polybag</v>
          </cell>
          <cell r="O547">
            <v>3</v>
          </cell>
        </row>
        <row r="548">
          <cell r="D548" t="str">
            <v>Glass Cleaner wiper</v>
          </cell>
          <cell r="O548">
            <v>0</v>
          </cell>
        </row>
        <row r="549">
          <cell r="D549" t="str">
            <v>Glass Cleaner-350ml</v>
          </cell>
          <cell r="O549">
            <v>12</v>
          </cell>
        </row>
        <row r="550">
          <cell r="D550" t="str">
            <v>Gumboot for Cleaner</v>
          </cell>
          <cell r="O550">
            <v>0</v>
          </cell>
        </row>
        <row r="551">
          <cell r="D551" t="str">
            <v>Hand Towel Tissue</v>
          </cell>
          <cell r="O551">
            <v>7</v>
          </cell>
        </row>
        <row r="552">
          <cell r="D552" t="str">
            <v>Handwash Can</v>
          </cell>
          <cell r="O552">
            <v>0</v>
          </cell>
        </row>
        <row r="553">
          <cell r="D553" t="str">
            <v xml:space="preserve">Handwash Liquied 5ltr Jar </v>
          </cell>
          <cell r="O553">
            <v>1</v>
          </cell>
        </row>
        <row r="554">
          <cell r="D554" t="str">
            <v>Harpic Liquid-750ml</v>
          </cell>
          <cell r="O554">
            <v>163</v>
          </cell>
        </row>
        <row r="555">
          <cell r="D555" t="str">
            <v>Jet Powder-400g</v>
          </cell>
          <cell r="O555">
            <v>0</v>
          </cell>
        </row>
        <row r="556">
          <cell r="D556" t="str">
            <v>Koren Pudding</v>
          </cell>
          <cell r="O556">
            <v>0</v>
          </cell>
        </row>
        <row r="557">
          <cell r="D557" t="str">
            <v>Lizol Floor Cleaner-1000ml</v>
          </cell>
          <cell r="O557">
            <v>70</v>
          </cell>
        </row>
        <row r="558">
          <cell r="D558" t="str">
            <v>Magic Brush</v>
          </cell>
          <cell r="O558">
            <v>0</v>
          </cell>
        </row>
        <row r="559">
          <cell r="D559" t="str">
            <v>Naphthalene</v>
          </cell>
          <cell r="O559">
            <v>2</v>
          </cell>
        </row>
        <row r="560">
          <cell r="D560" t="str">
            <v>Napkin Tissue</v>
          </cell>
          <cell r="O560">
            <v>45</v>
          </cell>
        </row>
        <row r="561">
          <cell r="D561" t="str">
            <v>Odonil Air Freshner</v>
          </cell>
          <cell r="O561">
            <v>29</v>
          </cell>
        </row>
        <row r="562">
          <cell r="D562" t="str">
            <v>Paddle Bin-10 Ltr</v>
          </cell>
          <cell r="O562">
            <v>1</v>
          </cell>
        </row>
        <row r="563">
          <cell r="D563" t="str">
            <v>Phenyle Floor Cleaner (3 Ltr Jar)</v>
          </cell>
          <cell r="O563">
            <v>6</v>
          </cell>
        </row>
        <row r="564">
          <cell r="D564" t="str">
            <v>Pilar Cock</v>
          </cell>
          <cell r="O564">
            <v>0</v>
          </cell>
        </row>
        <row r="565">
          <cell r="D565" t="str">
            <v>Plastic Belcha</v>
          </cell>
          <cell r="O565">
            <v>0</v>
          </cell>
        </row>
        <row r="566">
          <cell r="D566" t="str">
            <v>Plastic Bucket-10 Liter</v>
          </cell>
          <cell r="O566">
            <v>0</v>
          </cell>
        </row>
        <row r="567">
          <cell r="D567" t="str">
            <v>Plastic Bucket-20 Liter</v>
          </cell>
          <cell r="O567">
            <v>0</v>
          </cell>
        </row>
        <row r="568">
          <cell r="D568" t="str">
            <v>Plastic Bucket-30 Liter</v>
          </cell>
          <cell r="O568">
            <v>0</v>
          </cell>
        </row>
        <row r="569">
          <cell r="D569" t="str">
            <v>Plastic Mug</v>
          </cell>
          <cell r="O569">
            <v>0</v>
          </cell>
        </row>
        <row r="570">
          <cell r="D570" t="str">
            <v>Plastic Push Shower</v>
          </cell>
          <cell r="O570">
            <v>0</v>
          </cell>
        </row>
        <row r="571">
          <cell r="D571" t="str">
            <v xml:space="preserve">Plastic Water Tap </v>
          </cell>
          <cell r="O571">
            <v>0</v>
          </cell>
        </row>
        <row r="572">
          <cell r="D572" t="str">
            <v>Rok Floor Cleaner-900ml</v>
          </cell>
          <cell r="O572">
            <v>12</v>
          </cell>
        </row>
        <row r="573">
          <cell r="D573" t="str">
            <v>Rubber Hand Gloves</v>
          </cell>
          <cell r="O573">
            <v>0</v>
          </cell>
        </row>
        <row r="574">
          <cell r="D574" t="str">
            <v>Rubber Lip Set Corrugated Oil Resistant</v>
          </cell>
          <cell r="O574">
            <v>0</v>
          </cell>
        </row>
        <row r="575">
          <cell r="D575" t="str">
            <v>Scrubbing Brush</v>
          </cell>
          <cell r="O575">
            <v>0</v>
          </cell>
        </row>
        <row r="576">
          <cell r="D576" t="str">
            <v>Steel Scarub</v>
          </cell>
          <cell r="O576">
            <v>0</v>
          </cell>
        </row>
        <row r="577">
          <cell r="D577" t="str">
            <v>Steel Scourer (Majoni)</v>
          </cell>
          <cell r="O577">
            <v>0</v>
          </cell>
        </row>
        <row r="578">
          <cell r="D578" t="str">
            <v>Tibbat Ball Soap</v>
          </cell>
          <cell r="O578">
            <v>13</v>
          </cell>
        </row>
        <row r="579">
          <cell r="D579" t="str">
            <v>Toilet Hand Brush</v>
          </cell>
          <cell r="O579">
            <v>0</v>
          </cell>
        </row>
        <row r="580">
          <cell r="D580" t="str">
            <v>Toilet Tissue</v>
          </cell>
          <cell r="O580">
            <v>248</v>
          </cell>
        </row>
        <row r="581">
          <cell r="D581" t="str">
            <v>Vessles</v>
          </cell>
          <cell r="O581">
            <v>0</v>
          </cell>
        </row>
        <row r="582">
          <cell r="D582" t="str">
            <v>Vim Dishwashing Liquid 500ml</v>
          </cell>
          <cell r="O582">
            <v>24</v>
          </cell>
        </row>
        <row r="583">
          <cell r="D583" t="str">
            <v>Vim Powder</v>
          </cell>
          <cell r="O583">
            <v>0</v>
          </cell>
        </row>
        <row r="584">
          <cell r="D584" t="str">
            <v>Vixol Power-1000ml</v>
          </cell>
          <cell r="O584">
            <v>15</v>
          </cell>
        </row>
        <row r="585">
          <cell r="D585" t="str">
            <v>Washroom Magic Pipe</v>
          </cell>
          <cell r="O585">
            <v>0</v>
          </cell>
        </row>
        <row r="586">
          <cell r="D586" t="str">
            <v>Washroom Uses Sandle</v>
          </cell>
          <cell r="O586">
            <v>108</v>
          </cell>
        </row>
        <row r="587">
          <cell r="D587" t="str">
            <v>Wheel Detergent Powder</v>
          </cell>
          <cell r="O587">
            <v>10</v>
          </cell>
        </row>
        <row r="588">
          <cell r="D588" t="str">
            <v xml:space="preserve"> Inj.Sergel 40</v>
          </cell>
          <cell r="O588">
            <v>0</v>
          </cell>
        </row>
        <row r="589">
          <cell r="D589" t="str">
            <v>Accucheck Instant Blood Lancer</v>
          </cell>
          <cell r="O589">
            <v>0</v>
          </cell>
        </row>
        <row r="590">
          <cell r="D590" t="str">
            <v>Accucheck Instant Test Strips</v>
          </cell>
          <cell r="O590">
            <v>0</v>
          </cell>
        </row>
        <row r="591">
          <cell r="D591" t="str">
            <v>Adhesive First Aid Bandeg</v>
          </cell>
          <cell r="O591">
            <v>0</v>
          </cell>
        </row>
        <row r="592">
          <cell r="D592" t="str">
            <v xml:space="preserve">Atary Forsef -6" </v>
          </cell>
          <cell r="O592">
            <v>0</v>
          </cell>
        </row>
        <row r="593">
          <cell r="D593" t="str">
            <v>Blood Pressur Monitor</v>
          </cell>
          <cell r="O593">
            <v>0</v>
          </cell>
        </row>
        <row r="594">
          <cell r="D594" t="str">
            <v>Blood Pressure Digital Monitor</v>
          </cell>
          <cell r="O594">
            <v>0</v>
          </cell>
        </row>
        <row r="595">
          <cell r="D595" t="str">
            <v>Burnna Cream-25g</v>
          </cell>
          <cell r="O595">
            <v>0</v>
          </cell>
        </row>
        <row r="596">
          <cell r="D596" t="str">
            <v>Clofenac Gel 20gm</v>
          </cell>
          <cell r="O596">
            <v>0</v>
          </cell>
        </row>
        <row r="597">
          <cell r="D597" t="str">
            <v>Cotton 25gm</v>
          </cell>
          <cell r="O597">
            <v>0</v>
          </cell>
        </row>
        <row r="598">
          <cell r="D598" t="str">
            <v>Cotton 400gm</v>
          </cell>
          <cell r="O598">
            <v>0</v>
          </cell>
        </row>
        <row r="599">
          <cell r="D599" t="str">
            <v>Entacyd Plus</v>
          </cell>
          <cell r="O599">
            <v>0</v>
          </cell>
        </row>
        <row r="600">
          <cell r="D600" t="str">
            <v xml:space="preserve">Famina Pad </v>
          </cell>
          <cell r="O600">
            <v>186</v>
          </cell>
        </row>
        <row r="601">
          <cell r="D601" t="str">
            <v>Femina Pad</v>
          </cell>
          <cell r="O601">
            <v>0</v>
          </cell>
        </row>
        <row r="602">
          <cell r="D602" t="str">
            <v>Forhead Infrared Thermometer</v>
          </cell>
          <cell r="O602">
            <v>0</v>
          </cell>
        </row>
        <row r="603">
          <cell r="D603" t="str">
            <v>Germ Free Cotton 0.5</v>
          </cell>
          <cell r="O603">
            <v>0</v>
          </cell>
        </row>
        <row r="604">
          <cell r="D604" t="str">
            <v>Glucometer</v>
          </cell>
          <cell r="O604">
            <v>0</v>
          </cell>
        </row>
        <row r="605">
          <cell r="D605" t="str">
            <v>Hexisol  250 ml</v>
          </cell>
          <cell r="O605">
            <v>0</v>
          </cell>
        </row>
        <row r="606">
          <cell r="D606" t="str">
            <v>Hexisol 50 ml</v>
          </cell>
          <cell r="O606">
            <v>0</v>
          </cell>
        </row>
        <row r="607">
          <cell r="D607" t="str">
            <v>Hot Water Bag</v>
          </cell>
          <cell r="O607">
            <v>0</v>
          </cell>
        </row>
        <row r="608">
          <cell r="D608" t="str">
            <v>Ice Bag AT-EX</v>
          </cell>
          <cell r="O608">
            <v>0</v>
          </cell>
        </row>
        <row r="609">
          <cell r="D609" t="str">
            <v>Ice Cool Max</v>
          </cell>
          <cell r="O609">
            <v>0</v>
          </cell>
        </row>
        <row r="610">
          <cell r="D610" t="str">
            <v>Ice Cool Max-80g</v>
          </cell>
          <cell r="O610">
            <v>0</v>
          </cell>
        </row>
        <row r="611">
          <cell r="D611" t="str">
            <v xml:space="preserve">Inj. Nalbun-2 </v>
          </cell>
          <cell r="O611">
            <v>0</v>
          </cell>
        </row>
        <row r="612">
          <cell r="D612" t="str">
            <v>Inj.Algin</v>
          </cell>
          <cell r="O612">
            <v>0</v>
          </cell>
        </row>
        <row r="613">
          <cell r="D613" t="str">
            <v>Inj.Dexa</v>
          </cell>
          <cell r="O613">
            <v>0</v>
          </cell>
        </row>
        <row r="614">
          <cell r="D614" t="str">
            <v>Inj.Emistat</v>
          </cell>
          <cell r="O614">
            <v>0</v>
          </cell>
        </row>
        <row r="615">
          <cell r="D615" t="str">
            <v xml:space="preserve">Joya </v>
          </cell>
          <cell r="O615">
            <v>0</v>
          </cell>
        </row>
        <row r="616">
          <cell r="D616" t="str">
            <v>Kidney Tray ( m )</v>
          </cell>
          <cell r="O616">
            <v>0</v>
          </cell>
        </row>
        <row r="617">
          <cell r="D617" t="str">
            <v>Losectil Powder- 20gm</v>
          </cell>
          <cell r="O617">
            <v>0</v>
          </cell>
        </row>
        <row r="618">
          <cell r="D618" t="str">
            <v>Losectil Powder- 40gm</v>
          </cell>
          <cell r="O618">
            <v>0</v>
          </cell>
        </row>
        <row r="619">
          <cell r="D619" t="str">
            <v>Medical Appron</v>
          </cell>
          <cell r="O619">
            <v>0</v>
          </cell>
        </row>
        <row r="620">
          <cell r="D620" t="str">
            <v>Medical Bed Sheet</v>
          </cell>
          <cell r="O620">
            <v>0</v>
          </cell>
        </row>
        <row r="621">
          <cell r="D621" t="str">
            <v>Medical Pillow Cover</v>
          </cell>
          <cell r="O621">
            <v>0</v>
          </cell>
        </row>
        <row r="622">
          <cell r="D622" t="str">
            <v>Medical Scissors -6"</v>
          </cell>
          <cell r="O622">
            <v>0</v>
          </cell>
        </row>
        <row r="623">
          <cell r="D623" t="str">
            <v>M-Kast</v>
          </cell>
          <cell r="O623">
            <v>0</v>
          </cell>
        </row>
        <row r="624">
          <cell r="D624" t="str">
            <v>MO2-Gas-2.0</v>
          </cell>
          <cell r="O624">
            <v>0</v>
          </cell>
        </row>
        <row r="625">
          <cell r="D625" t="str">
            <v>Mosquito Artery Forcef-5"</v>
          </cell>
          <cell r="O625">
            <v>0</v>
          </cell>
        </row>
        <row r="626">
          <cell r="D626" t="str">
            <v>Napa 500mg</v>
          </cell>
          <cell r="O626">
            <v>0</v>
          </cell>
        </row>
        <row r="627">
          <cell r="D627" t="str">
            <v>Napa Extend</v>
          </cell>
          <cell r="O627">
            <v>0</v>
          </cell>
        </row>
        <row r="628">
          <cell r="D628" t="str">
            <v>Needle Holder Foscef-5"</v>
          </cell>
          <cell r="O628">
            <v>0</v>
          </cell>
        </row>
        <row r="629">
          <cell r="D629" t="str">
            <v>Normal Saline-1000ml</v>
          </cell>
          <cell r="O629">
            <v>0</v>
          </cell>
        </row>
        <row r="630">
          <cell r="D630" t="str">
            <v>Omidon 10mg</v>
          </cell>
          <cell r="O630">
            <v>0</v>
          </cell>
        </row>
        <row r="631">
          <cell r="D631" t="str">
            <v>Omron Compressor (Nebulizer Ne-C101)</v>
          </cell>
          <cell r="O631">
            <v>0</v>
          </cell>
        </row>
        <row r="632">
          <cell r="D632" t="str">
            <v>One Time Bandge</v>
          </cell>
          <cell r="O632">
            <v>0</v>
          </cell>
        </row>
        <row r="633">
          <cell r="D633" t="str">
            <v>Opsophenicol Eye</v>
          </cell>
          <cell r="O633">
            <v>0</v>
          </cell>
        </row>
        <row r="634">
          <cell r="D634" t="str">
            <v>Orsalaine</v>
          </cell>
          <cell r="O634">
            <v>0</v>
          </cell>
        </row>
        <row r="635">
          <cell r="D635" t="str">
            <v>Prolin 3/0</v>
          </cell>
          <cell r="O635">
            <v>0</v>
          </cell>
        </row>
        <row r="636">
          <cell r="D636" t="str">
            <v>Pulse Oximeter</v>
          </cell>
          <cell r="O636">
            <v>0</v>
          </cell>
        </row>
        <row r="637">
          <cell r="D637" t="str">
            <v>Roller Bandage-2"</v>
          </cell>
          <cell r="O637">
            <v>0</v>
          </cell>
        </row>
        <row r="638">
          <cell r="D638" t="str">
            <v>Roller Bandage-3"</v>
          </cell>
          <cell r="O638">
            <v>0</v>
          </cell>
        </row>
        <row r="639">
          <cell r="D639" t="str">
            <v>Roller Bandage-4"</v>
          </cell>
          <cell r="O639">
            <v>0</v>
          </cell>
        </row>
        <row r="640">
          <cell r="D640" t="str">
            <v>Savlon Cream 30g</v>
          </cell>
          <cell r="O640">
            <v>0</v>
          </cell>
        </row>
        <row r="641">
          <cell r="D641" t="str">
            <v>Savlon Cream 60gm</v>
          </cell>
          <cell r="O641">
            <v>0</v>
          </cell>
        </row>
        <row r="642">
          <cell r="D642" t="str">
            <v>Scientific Scissor-6"</v>
          </cell>
          <cell r="O642">
            <v>0</v>
          </cell>
        </row>
        <row r="643">
          <cell r="D643" t="str">
            <v>Scissors-5"</v>
          </cell>
          <cell r="O643">
            <v>0</v>
          </cell>
        </row>
        <row r="644">
          <cell r="D644" t="str">
            <v>Senera Nakpkin</v>
          </cell>
          <cell r="O644">
            <v>0</v>
          </cell>
        </row>
        <row r="645">
          <cell r="D645" t="str">
            <v>Sergel</v>
          </cell>
          <cell r="O645">
            <v>0</v>
          </cell>
        </row>
        <row r="646">
          <cell r="D646" t="str">
            <v>Sofra Tulle</v>
          </cell>
          <cell r="O646">
            <v>0</v>
          </cell>
        </row>
        <row r="647">
          <cell r="D647" t="str">
            <v>Sterilizer Machine</v>
          </cell>
          <cell r="O647">
            <v>0</v>
          </cell>
        </row>
        <row r="648">
          <cell r="D648" t="str">
            <v>Stethoscope</v>
          </cell>
          <cell r="O648">
            <v>0</v>
          </cell>
        </row>
        <row r="649">
          <cell r="D649" t="str">
            <v>Syringe-5cc</v>
          </cell>
          <cell r="O649">
            <v>0</v>
          </cell>
        </row>
        <row r="650">
          <cell r="D650" t="str">
            <v>T.T.Vax</v>
          </cell>
          <cell r="O650">
            <v>0</v>
          </cell>
        </row>
        <row r="651">
          <cell r="D651" t="str">
            <v>Tab.Atova-20mg</v>
          </cell>
          <cell r="O651">
            <v>0</v>
          </cell>
        </row>
        <row r="652">
          <cell r="D652" t="str">
            <v>Tab.Bucof-50mg</v>
          </cell>
          <cell r="O652">
            <v>0</v>
          </cell>
        </row>
        <row r="653">
          <cell r="D653" t="str">
            <v>Tab.Clopid -75mg</v>
          </cell>
          <cell r="O653">
            <v>0</v>
          </cell>
        </row>
        <row r="654">
          <cell r="D654" t="str">
            <v>Tab.Deslor -5mg</v>
          </cell>
          <cell r="O654">
            <v>0</v>
          </cell>
        </row>
        <row r="655">
          <cell r="D655" t="str">
            <v>Tab.Ecosprin-75mg</v>
          </cell>
          <cell r="O655">
            <v>0</v>
          </cell>
        </row>
        <row r="656">
          <cell r="D656" t="str">
            <v>Tab.Fexo -120mg</v>
          </cell>
          <cell r="O656">
            <v>0</v>
          </cell>
        </row>
        <row r="657">
          <cell r="D657" t="str">
            <v>Tab.Flexi -100mg</v>
          </cell>
          <cell r="O657">
            <v>0</v>
          </cell>
        </row>
        <row r="658">
          <cell r="D658" t="str">
            <v>Tab.Maxpro -20mg</v>
          </cell>
          <cell r="O658">
            <v>0</v>
          </cell>
        </row>
        <row r="659">
          <cell r="D659" t="str">
            <v>Tab-Alartol</v>
          </cell>
          <cell r="O659">
            <v>0</v>
          </cell>
        </row>
        <row r="660">
          <cell r="D660" t="str">
            <v>Tab-Algin-50mg</v>
          </cell>
          <cell r="O660">
            <v>0</v>
          </cell>
        </row>
        <row r="661">
          <cell r="D661" t="str">
            <v>Tab-Amodis 400mg</v>
          </cell>
          <cell r="O661">
            <v>0</v>
          </cell>
        </row>
        <row r="662">
          <cell r="D662" t="str">
            <v>Tab-Emistat 8mg</v>
          </cell>
          <cell r="O662">
            <v>0</v>
          </cell>
        </row>
        <row r="663">
          <cell r="D663" t="str">
            <v>Tab-Tufnil-200mg</v>
          </cell>
          <cell r="O663">
            <v>0</v>
          </cell>
        </row>
        <row r="664">
          <cell r="D664" t="str">
            <v>Toothhed Forcef-6"</v>
          </cell>
          <cell r="O664">
            <v>0</v>
          </cell>
        </row>
        <row r="665">
          <cell r="D665" t="str">
            <v>Tounniquet Band</v>
          </cell>
          <cell r="O665">
            <v>0</v>
          </cell>
        </row>
        <row r="666">
          <cell r="D666" t="str">
            <v>Tuniket</v>
          </cell>
          <cell r="O666">
            <v>0</v>
          </cell>
        </row>
        <row r="667">
          <cell r="D667" t="str">
            <v>Vaxitat Injetion</v>
          </cell>
          <cell r="O667">
            <v>0</v>
          </cell>
        </row>
        <row r="668">
          <cell r="D668" t="str">
            <v>Viodin 10% -100ml</v>
          </cell>
          <cell r="O668">
            <v>0</v>
          </cell>
        </row>
        <row r="669">
          <cell r="D669" t="str">
            <v>Voidine</v>
          </cell>
          <cell r="O669">
            <v>0</v>
          </cell>
        </row>
        <row r="670">
          <cell r="D670" t="str">
            <v>Voidine Cream-25gm</v>
          </cell>
          <cell r="O670">
            <v>0</v>
          </cell>
        </row>
        <row r="671">
          <cell r="D671" t="str">
            <v>Windel Plus Nebulizer Solution</v>
          </cell>
          <cell r="O671">
            <v>0</v>
          </cell>
        </row>
        <row r="672">
          <cell r="D672" t="str">
            <v xml:space="preserve">Wooden Splint </v>
          </cell>
          <cell r="O672">
            <v>0</v>
          </cell>
        </row>
        <row r="673">
          <cell r="D673" t="str">
            <v>100% Cut Panel Inspection Report</v>
          </cell>
          <cell r="O673">
            <v>0</v>
          </cell>
        </row>
        <row r="674">
          <cell r="D674" t="str">
            <v>100% Key Point Measurement Record</v>
          </cell>
          <cell r="O674">
            <v>10</v>
          </cell>
        </row>
        <row r="675">
          <cell r="D675" t="str">
            <v>100% Quality Inspection Report</v>
          </cell>
          <cell r="O675">
            <v>20</v>
          </cell>
        </row>
        <row r="676">
          <cell r="D676" t="str">
            <v>1st Out Put Report</v>
          </cell>
          <cell r="O676">
            <v>0</v>
          </cell>
        </row>
        <row r="677">
          <cell r="D677" t="str">
            <v>7.0 Inspection Report</v>
          </cell>
          <cell r="O677">
            <v>5</v>
          </cell>
        </row>
        <row r="678">
          <cell r="D678" t="str">
            <v>Accessories Inspection Report</v>
          </cell>
          <cell r="O678">
            <v>0</v>
          </cell>
        </row>
        <row r="679">
          <cell r="D679" t="str">
            <v xml:space="preserve">Broken/Messing Needle Report </v>
          </cell>
          <cell r="O679">
            <v>0</v>
          </cell>
        </row>
        <row r="680">
          <cell r="D680" t="str">
            <v>Change/Broken/Missing Needle Record</v>
          </cell>
          <cell r="O680">
            <v>5</v>
          </cell>
        </row>
        <row r="681">
          <cell r="D681" t="str">
            <v>Conveyance Bill Book</v>
          </cell>
          <cell r="O681">
            <v>30</v>
          </cell>
        </row>
        <row r="682">
          <cell r="D682" t="str">
            <v>Cutting Issue Challan Book</v>
          </cell>
          <cell r="O682">
            <v>0</v>
          </cell>
        </row>
        <row r="683">
          <cell r="D683" t="str">
            <v>Cutting Quality Control Report</v>
          </cell>
          <cell r="O683">
            <v>0</v>
          </cell>
        </row>
        <row r="684">
          <cell r="D684" t="str">
            <v>Daily Fusing Machine Calibration Report</v>
          </cell>
          <cell r="O684">
            <v>0</v>
          </cell>
        </row>
        <row r="685">
          <cell r="D685" t="str">
            <v>Daily Out Put Produt Inspection</v>
          </cell>
          <cell r="O685">
            <v>6</v>
          </cell>
        </row>
        <row r="686">
          <cell r="D686" t="str">
            <v>Defect Repair Record</v>
          </cell>
          <cell r="O686">
            <v>6</v>
          </cell>
        </row>
        <row r="687">
          <cell r="D687" t="str">
            <v>Defective Parts Replacement Record</v>
          </cell>
          <cell r="O687">
            <v>10</v>
          </cell>
        </row>
        <row r="688">
          <cell r="D688" t="str">
            <v>Delivery Challan Book</v>
          </cell>
          <cell r="O688">
            <v>2</v>
          </cell>
        </row>
        <row r="689">
          <cell r="D689" t="str">
            <v>Fabrics Inventory Report</v>
          </cell>
          <cell r="O689">
            <v>4</v>
          </cell>
        </row>
        <row r="690">
          <cell r="D690" t="str">
            <v>Fabrics Relaxation Report</v>
          </cell>
          <cell r="O690">
            <v>0</v>
          </cell>
        </row>
        <row r="691">
          <cell r="D691" t="str">
            <v>Female Attendance Register</v>
          </cell>
          <cell r="O691">
            <v>0</v>
          </cell>
        </row>
        <row r="692">
          <cell r="D692" t="str">
            <v>Finished Goods Moisture Check Record</v>
          </cell>
          <cell r="O692">
            <v>0</v>
          </cell>
        </row>
        <row r="693">
          <cell r="D693" t="str">
            <v>Fusing Machine Temperature  &amp; Bond Test Report</v>
          </cell>
          <cell r="O693">
            <v>0</v>
          </cell>
        </row>
        <row r="694">
          <cell r="D694" t="str">
            <v>Gate Pass Book</v>
          </cell>
          <cell r="O694">
            <v>4</v>
          </cell>
        </row>
        <row r="695">
          <cell r="D695" t="str">
            <v>GSM check Report</v>
          </cell>
          <cell r="O695">
            <v>0</v>
          </cell>
        </row>
        <row r="696">
          <cell r="D696" t="str">
            <v>Hourly Audit Report</v>
          </cell>
          <cell r="O696">
            <v>4</v>
          </cell>
        </row>
        <row r="697">
          <cell r="D697" t="str">
            <v>Hourly Down Panel Weight Check Report</v>
          </cell>
          <cell r="O697">
            <v>0</v>
          </cell>
        </row>
        <row r="698">
          <cell r="D698" t="str">
            <v>Hourly Production Report</v>
          </cell>
          <cell r="O698">
            <v>8</v>
          </cell>
        </row>
        <row r="699">
          <cell r="D699" t="str">
            <v>Indent Book</v>
          </cell>
          <cell r="O699">
            <v>45</v>
          </cell>
        </row>
        <row r="700">
          <cell r="D700" t="str">
            <v>Lay Report Book</v>
          </cell>
          <cell r="O700">
            <v>0</v>
          </cell>
        </row>
        <row r="701">
          <cell r="D701" t="str">
            <v>Leave Application Form</v>
          </cell>
          <cell r="O701">
            <v>0</v>
          </cell>
        </row>
        <row r="702">
          <cell r="D702" t="str">
            <v>Log Sheet for Cutting</v>
          </cell>
          <cell r="O702">
            <v>2</v>
          </cell>
        </row>
        <row r="703">
          <cell r="D703" t="str">
            <v>Log Sheet for Sewing</v>
          </cell>
          <cell r="O703">
            <v>8</v>
          </cell>
        </row>
        <row r="704">
          <cell r="D704" t="str">
            <v>Lunch/Carrying Bill Book</v>
          </cell>
          <cell r="O704">
            <v>0</v>
          </cell>
        </row>
        <row r="705">
          <cell r="D705" t="str">
            <v>Machine Oil Check Report</v>
          </cell>
          <cell r="O705">
            <v>3</v>
          </cell>
        </row>
        <row r="706">
          <cell r="D706" t="str">
            <v>Marker Check Report</v>
          </cell>
          <cell r="O706">
            <v>0</v>
          </cell>
        </row>
        <row r="707">
          <cell r="D707" t="str">
            <v>Marker Requisition Sheet</v>
          </cell>
          <cell r="O707">
            <v>12</v>
          </cell>
        </row>
        <row r="708">
          <cell r="D708" t="str">
            <v>Packing Accuracy Audit Report</v>
          </cell>
          <cell r="O708">
            <v>0</v>
          </cell>
        </row>
        <row r="709">
          <cell r="D709" t="str">
            <v>Quality Gate Book</v>
          </cell>
          <cell r="O709">
            <v>0</v>
          </cell>
        </row>
        <row r="710">
          <cell r="D710" t="str">
            <v>Returnable Gate Pass Book</v>
          </cell>
          <cell r="O710">
            <v>3</v>
          </cell>
        </row>
        <row r="711">
          <cell r="D711" t="str">
            <v>Root Cause Analysis Top 3 Defect</v>
          </cell>
          <cell r="O711">
            <v>2</v>
          </cell>
        </row>
        <row r="712">
          <cell r="D712" t="str">
            <v xml:space="preserve">Short Leave Slip </v>
          </cell>
          <cell r="O712">
            <v>0</v>
          </cell>
        </row>
        <row r="713">
          <cell r="D713" t="str">
            <v>SKU Report</v>
          </cell>
          <cell r="O713">
            <v>0</v>
          </cell>
        </row>
        <row r="714">
          <cell r="D714" t="str">
            <v>Spreding Control Lay Check Report</v>
          </cell>
          <cell r="O714">
            <v>0</v>
          </cell>
        </row>
        <row r="715">
          <cell r="D715" t="str">
            <v>Standard Operational Instruction (QCP)</v>
          </cell>
          <cell r="O715">
            <v>1</v>
          </cell>
        </row>
        <row r="716">
          <cell r="D716" t="str">
            <v>Standard Operational Instruction (WSC)</v>
          </cell>
          <cell r="O716">
            <v>1</v>
          </cell>
        </row>
        <row r="717">
          <cell r="D717" t="str">
            <v>Style Closing Report</v>
          </cell>
          <cell r="O717">
            <v>1</v>
          </cell>
        </row>
        <row r="718">
          <cell r="D718" t="str">
            <v>Styling Check Report</v>
          </cell>
          <cell r="O718">
            <v>1</v>
          </cell>
        </row>
        <row r="719">
          <cell r="D719" t="str">
            <v>Trims Check Record</v>
          </cell>
          <cell r="O719">
            <v>0</v>
          </cell>
        </row>
        <row r="720">
          <cell r="D720" t="str">
            <v>Vat Challan Book 6.3</v>
          </cell>
          <cell r="O720">
            <v>0</v>
          </cell>
        </row>
        <row r="721">
          <cell r="D721" t="str">
            <v>K/S Roller Bearing</v>
          </cell>
          <cell r="O721">
            <v>0</v>
          </cell>
        </row>
        <row r="722">
          <cell r="D722" t="str">
            <v>P/M Metal Gathering Guide</v>
          </cell>
          <cell r="O722">
            <v>0</v>
          </cell>
        </row>
        <row r="723">
          <cell r="D723" t="str">
            <v>P/M Metal Guide 1/16 CL</v>
          </cell>
          <cell r="O723">
            <v>10</v>
          </cell>
        </row>
        <row r="724">
          <cell r="D724" t="str">
            <v>P/M Metal Guide 1/16 CR</v>
          </cell>
          <cell r="O724">
            <v>10</v>
          </cell>
        </row>
        <row r="725">
          <cell r="D725" t="str">
            <v>P/M Metal Guide 1/4 CL</v>
          </cell>
          <cell r="O725">
            <v>0</v>
          </cell>
        </row>
        <row r="726">
          <cell r="D726" t="str">
            <v>P/M Metal Guide 1/4 CR</v>
          </cell>
          <cell r="O726">
            <v>0</v>
          </cell>
        </row>
        <row r="727">
          <cell r="D727" t="str">
            <v>P/M Metal Guide 1/8 CL</v>
          </cell>
          <cell r="O727">
            <v>0</v>
          </cell>
        </row>
        <row r="728">
          <cell r="D728" t="str">
            <v>P/M Metal Guide 1/8 CR</v>
          </cell>
          <cell r="O728">
            <v>0</v>
          </cell>
        </row>
        <row r="729">
          <cell r="D729" t="str">
            <v>P/M Metal Hidden Zipper Guide</v>
          </cell>
          <cell r="O729">
            <v>0</v>
          </cell>
        </row>
        <row r="730">
          <cell r="D730" t="str">
            <v>P/M Metal Piping Guide 1/8-CL</v>
          </cell>
          <cell r="O730">
            <v>0</v>
          </cell>
        </row>
        <row r="731">
          <cell r="D731" t="str">
            <v>P/M Metal Piping Guide 1/8-CR</v>
          </cell>
          <cell r="O731">
            <v>0</v>
          </cell>
        </row>
        <row r="732">
          <cell r="D732" t="str">
            <v>P/M Metal Plain Feet</v>
          </cell>
          <cell r="O732">
            <v>0</v>
          </cell>
        </row>
        <row r="733">
          <cell r="D733" t="str">
            <v>P/M Metal Roller Guide</v>
          </cell>
          <cell r="O733">
            <v>0</v>
          </cell>
        </row>
        <row r="734">
          <cell r="D734" t="str">
            <v>P/M Metal Sharing Guide</v>
          </cell>
          <cell r="O734">
            <v>0</v>
          </cell>
        </row>
        <row r="735">
          <cell r="D735" t="str">
            <v>P/M Metal Zipper Guide-Both</v>
          </cell>
          <cell r="O735">
            <v>0</v>
          </cell>
        </row>
        <row r="736">
          <cell r="D736" t="str">
            <v>P/M Metal Zipper Guide-L</v>
          </cell>
          <cell r="O736">
            <v>0</v>
          </cell>
        </row>
        <row r="737">
          <cell r="D737" t="str">
            <v>P/M Metal Zipper Guide-R</v>
          </cell>
          <cell r="O737">
            <v>0</v>
          </cell>
        </row>
        <row r="738">
          <cell r="D738" t="str">
            <v>P/M Plastic Guide 1/16 CL</v>
          </cell>
          <cell r="O738">
            <v>40</v>
          </cell>
        </row>
        <row r="739">
          <cell r="D739" t="str">
            <v>P/M Plastic Guide 1/16 CR</v>
          </cell>
          <cell r="O739">
            <v>95</v>
          </cell>
        </row>
        <row r="740">
          <cell r="D740" t="str">
            <v>P/M Plastic Plain Feet</v>
          </cell>
          <cell r="O740">
            <v>160</v>
          </cell>
        </row>
        <row r="741">
          <cell r="D741" t="str">
            <v>P/M Plastic Ring Guide</v>
          </cell>
          <cell r="O741">
            <v>0</v>
          </cell>
        </row>
        <row r="742">
          <cell r="D742" t="str">
            <v>P/M Plastic Roller Guide</v>
          </cell>
          <cell r="O742">
            <v>11</v>
          </cell>
        </row>
        <row r="743">
          <cell r="D743" t="str">
            <v>P/M Plastic Roller Piping Guide-CL</v>
          </cell>
          <cell r="O743">
            <v>1</v>
          </cell>
        </row>
        <row r="744">
          <cell r="D744" t="str">
            <v>P/M Plastic Zipper Guide-Both</v>
          </cell>
          <cell r="O744">
            <v>70</v>
          </cell>
        </row>
        <row r="745">
          <cell r="D745" t="str">
            <v>P/M Plastic Zipper Guide-L</v>
          </cell>
          <cell r="O745">
            <v>20</v>
          </cell>
        </row>
        <row r="746">
          <cell r="D746" t="str">
            <v>P/M Plastic Zipper Guide-R</v>
          </cell>
          <cell r="O746">
            <v>20</v>
          </cell>
        </row>
        <row r="747">
          <cell r="D747" t="str">
            <v>P/M SP Guide 1/16 CL</v>
          </cell>
          <cell r="O747">
            <v>0</v>
          </cell>
        </row>
        <row r="748">
          <cell r="D748" t="str">
            <v>P/M SP Guide 1/16 CR</v>
          </cell>
          <cell r="O748">
            <v>0</v>
          </cell>
        </row>
        <row r="749">
          <cell r="D749" t="str">
            <v>P/M SP Guide 1/4 CL</v>
          </cell>
          <cell r="O749">
            <v>0</v>
          </cell>
        </row>
        <row r="750">
          <cell r="D750" t="str">
            <v>P/M SP Guide 1/4 CR</v>
          </cell>
          <cell r="O750">
            <v>2</v>
          </cell>
        </row>
        <row r="751">
          <cell r="D751" t="str">
            <v>P/M SP Guide 3/16 CR</v>
          </cell>
          <cell r="O751">
            <v>0</v>
          </cell>
        </row>
        <row r="752">
          <cell r="D752" t="str">
            <v>P/M SP Guide-1/8 CL</v>
          </cell>
          <cell r="O752">
            <v>0</v>
          </cell>
        </row>
        <row r="753">
          <cell r="D753" t="str">
            <v>P/M SP Guide-1/8 CR</v>
          </cell>
          <cell r="O753">
            <v>0</v>
          </cell>
        </row>
        <row r="754">
          <cell r="D754" t="str">
            <v>T- Guide</v>
          </cell>
          <cell r="O754">
            <v>0</v>
          </cell>
        </row>
        <row r="755">
          <cell r="D755" t="str">
            <v>T/N Machine Clamp Spring</v>
          </cell>
          <cell r="O755">
            <v>0</v>
          </cell>
        </row>
        <row r="756">
          <cell r="D756" t="str">
            <v>T/N Metal Guide 1/4-CL</v>
          </cell>
          <cell r="O756">
            <v>0</v>
          </cell>
        </row>
        <row r="757">
          <cell r="D757" t="str">
            <v>T/N Metal Guide 1/4-CR</v>
          </cell>
          <cell r="O757">
            <v>0</v>
          </cell>
        </row>
        <row r="758">
          <cell r="D758" t="str">
            <v>T/N Metal Guide 1/8 CL</v>
          </cell>
          <cell r="O758">
            <v>0</v>
          </cell>
        </row>
        <row r="759">
          <cell r="D759" t="str">
            <v>T/N Metal Guide 1/8-CR</v>
          </cell>
          <cell r="O759">
            <v>0</v>
          </cell>
        </row>
        <row r="760">
          <cell r="D760" t="str">
            <v>T/N Metal Guide 3/16-CL</v>
          </cell>
          <cell r="O760">
            <v>0</v>
          </cell>
        </row>
        <row r="761">
          <cell r="D761" t="str">
            <v>T/N Metal Guide 3/16-CR</v>
          </cell>
          <cell r="O761">
            <v>0</v>
          </cell>
        </row>
        <row r="762">
          <cell r="D762" t="str">
            <v>T/N Metal Plain Feet-1/4</v>
          </cell>
          <cell r="O762">
            <v>2</v>
          </cell>
        </row>
        <row r="763">
          <cell r="D763" t="str">
            <v>T/N Metal Plain Feet-1/8</v>
          </cell>
          <cell r="O763">
            <v>0</v>
          </cell>
        </row>
        <row r="764">
          <cell r="D764" t="str">
            <v>T/N Metal Plain Feet-3/16</v>
          </cell>
          <cell r="O764">
            <v>0</v>
          </cell>
        </row>
        <row r="765">
          <cell r="D765" t="str">
            <v>Wing/Hanger Guide</v>
          </cell>
          <cell r="O765">
            <v>1</v>
          </cell>
        </row>
        <row r="766">
          <cell r="D766" t="str">
            <v>3 Phase Bar-63 Amp</v>
          </cell>
          <cell r="O766">
            <v>0</v>
          </cell>
        </row>
        <row r="767">
          <cell r="D767" t="str">
            <v>AC Round Type Power 3Pin Socket</v>
          </cell>
          <cell r="O767">
            <v>6</v>
          </cell>
        </row>
        <row r="768">
          <cell r="D768" t="str">
            <v>Advestor Rope</v>
          </cell>
          <cell r="O768">
            <v>0</v>
          </cell>
        </row>
        <row r="769">
          <cell r="D769" t="str">
            <v>Air Elbow- 04mm/04mm White</v>
          </cell>
          <cell r="O769">
            <v>0</v>
          </cell>
        </row>
        <row r="770">
          <cell r="D770" t="str">
            <v>Air Gun</v>
          </cell>
          <cell r="O770">
            <v>16</v>
          </cell>
        </row>
        <row r="771">
          <cell r="D771" t="str">
            <v>Air Join Socket- 4mm/4mm</v>
          </cell>
          <cell r="O771">
            <v>0</v>
          </cell>
        </row>
        <row r="772">
          <cell r="D772" t="str">
            <v>Air Line Gate Valve-01"</v>
          </cell>
          <cell r="O772">
            <v>0</v>
          </cell>
        </row>
        <row r="773">
          <cell r="D773" t="str">
            <v>Air Nipple 1/2"-08mm</v>
          </cell>
          <cell r="O773">
            <v>0</v>
          </cell>
        </row>
        <row r="774">
          <cell r="D774" t="str">
            <v>Air Nipple 1/2"-10mm</v>
          </cell>
          <cell r="O774">
            <v>2</v>
          </cell>
        </row>
        <row r="775">
          <cell r="D775" t="str">
            <v>Air Nipple 1/2"-12mm</v>
          </cell>
          <cell r="O775">
            <v>0</v>
          </cell>
        </row>
        <row r="776">
          <cell r="D776" t="str">
            <v>Air Nipple 1/4"-08mm</v>
          </cell>
          <cell r="O776">
            <v>30</v>
          </cell>
        </row>
        <row r="777">
          <cell r="D777" t="str">
            <v>Air Nipple 3/8"-08mm</v>
          </cell>
          <cell r="O777">
            <v>0</v>
          </cell>
        </row>
        <row r="778">
          <cell r="D778" t="str">
            <v>Air Nipple 8/5mm</v>
          </cell>
          <cell r="O778">
            <v>20</v>
          </cell>
        </row>
        <row r="779">
          <cell r="D779" t="str">
            <v>Air Nipple Regulator 1/2 -12</v>
          </cell>
          <cell r="O779">
            <v>0</v>
          </cell>
        </row>
        <row r="780">
          <cell r="D780" t="str">
            <v>Air Nipple Regulator 4mm</v>
          </cell>
          <cell r="O780">
            <v>0</v>
          </cell>
        </row>
        <row r="781">
          <cell r="D781" t="str">
            <v>Air Pipe-04mm</v>
          </cell>
          <cell r="O781">
            <v>0</v>
          </cell>
        </row>
        <row r="782">
          <cell r="D782" t="str">
            <v>Air Pipe-06mm</v>
          </cell>
          <cell r="O782">
            <v>0</v>
          </cell>
        </row>
        <row r="783">
          <cell r="D783" t="str">
            <v>Air Pipe-08mm</v>
          </cell>
          <cell r="O783">
            <v>27</v>
          </cell>
        </row>
        <row r="784">
          <cell r="D784" t="str">
            <v>Air Pipe-16mm</v>
          </cell>
          <cell r="O784">
            <v>0</v>
          </cell>
        </row>
        <row r="785">
          <cell r="D785" t="str">
            <v>Air Regulation Socket-8/4mm</v>
          </cell>
          <cell r="O785">
            <v>0</v>
          </cell>
        </row>
        <row r="786">
          <cell r="D786" t="str">
            <v xml:space="preserve">Air Regulator </v>
          </cell>
          <cell r="O786">
            <v>0</v>
          </cell>
        </row>
        <row r="787">
          <cell r="D787" t="str">
            <v>Air Socket- 12/10 mm</v>
          </cell>
          <cell r="O787">
            <v>0</v>
          </cell>
        </row>
        <row r="788">
          <cell r="D788" t="str">
            <v>Air Socket- 16/16 mm</v>
          </cell>
          <cell r="O788">
            <v>0</v>
          </cell>
        </row>
        <row r="789">
          <cell r="D789" t="str">
            <v>Air Socket-08/06mm</v>
          </cell>
          <cell r="O789">
            <v>0</v>
          </cell>
        </row>
        <row r="790">
          <cell r="D790" t="str">
            <v>Air Socket-08/08mm</v>
          </cell>
          <cell r="O790">
            <v>0</v>
          </cell>
        </row>
        <row r="791">
          <cell r="D791" t="str">
            <v>Air Socket-08/10mm</v>
          </cell>
          <cell r="O791">
            <v>5</v>
          </cell>
        </row>
        <row r="792">
          <cell r="D792" t="str">
            <v>Air Socket-08/12mm</v>
          </cell>
          <cell r="O792">
            <v>0</v>
          </cell>
        </row>
        <row r="793">
          <cell r="D793" t="str">
            <v>Air T- 04mm/04mm/04mm White</v>
          </cell>
          <cell r="O793">
            <v>0</v>
          </cell>
        </row>
        <row r="794">
          <cell r="D794" t="str">
            <v>Air Tee- 08/08/08 mm</v>
          </cell>
          <cell r="O794">
            <v>0</v>
          </cell>
        </row>
        <row r="795">
          <cell r="D795" t="str">
            <v>Air Tee-10/10/08mm</v>
          </cell>
          <cell r="O795">
            <v>0</v>
          </cell>
        </row>
        <row r="796">
          <cell r="D796" t="str">
            <v>Air Tee-12/12/08mm</v>
          </cell>
          <cell r="O796">
            <v>0</v>
          </cell>
        </row>
        <row r="797">
          <cell r="D797" t="str">
            <v>Air Tee-12/12/10mm</v>
          </cell>
          <cell r="O797">
            <v>0</v>
          </cell>
        </row>
        <row r="798">
          <cell r="D798" t="str">
            <v>Air Tee-16mm</v>
          </cell>
          <cell r="O798">
            <v>0</v>
          </cell>
        </row>
        <row r="799">
          <cell r="D799" t="str">
            <v>Air Tee-3/8-12/12mm</v>
          </cell>
          <cell r="O799">
            <v>0</v>
          </cell>
        </row>
        <row r="800">
          <cell r="D800" t="str">
            <v>Aluminium Sheet-3.5mm</v>
          </cell>
          <cell r="O800">
            <v>0</v>
          </cell>
        </row>
        <row r="801">
          <cell r="D801" t="str">
            <v>Analoug Multimeter</v>
          </cell>
          <cell r="O801">
            <v>0</v>
          </cell>
        </row>
        <row r="802">
          <cell r="D802" t="str">
            <v>Araldite Gum</v>
          </cell>
          <cell r="O802">
            <v>0</v>
          </cell>
        </row>
        <row r="803">
          <cell r="D803" t="str">
            <v>Baby Drill Bit-5/32mm</v>
          </cell>
          <cell r="O803">
            <v>0</v>
          </cell>
        </row>
        <row r="804">
          <cell r="D804" t="str">
            <v>Balancing Machine Belt-HTD 450-5M</v>
          </cell>
          <cell r="O804">
            <v>0</v>
          </cell>
        </row>
        <row r="805">
          <cell r="D805" t="str">
            <v>Balancing Machine Belt-HTD 570-5M</v>
          </cell>
          <cell r="O805">
            <v>0</v>
          </cell>
        </row>
        <row r="806">
          <cell r="D806" t="str">
            <v>Balancing Machine Belt-HTD 640-5M</v>
          </cell>
          <cell r="O806">
            <v>0</v>
          </cell>
        </row>
        <row r="807">
          <cell r="D807" t="str">
            <v>Balancing Machine Belt-HTD 690-5M</v>
          </cell>
          <cell r="O807">
            <v>0</v>
          </cell>
        </row>
        <row r="808">
          <cell r="D808" t="str">
            <v>Ball Bearing -6204</v>
          </cell>
          <cell r="O808">
            <v>0</v>
          </cell>
        </row>
        <row r="809">
          <cell r="D809" t="str">
            <v>Ball Valve-01"</v>
          </cell>
          <cell r="O809">
            <v>0</v>
          </cell>
        </row>
        <row r="810">
          <cell r="D810" t="str">
            <v>Ball Valve-1.5"</v>
          </cell>
          <cell r="O810">
            <v>0</v>
          </cell>
        </row>
        <row r="811">
          <cell r="D811" t="str">
            <v>Ball Valve-1/2"</v>
          </cell>
          <cell r="O811">
            <v>0</v>
          </cell>
        </row>
        <row r="812">
          <cell r="D812" t="str">
            <v>Ball Valve-2"</v>
          </cell>
          <cell r="O812">
            <v>0</v>
          </cell>
        </row>
        <row r="813">
          <cell r="D813" t="str">
            <v>Bashbar 20 x 10 x 2'</v>
          </cell>
          <cell r="O813">
            <v>0</v>
          </cell>
        </row>
        <row r="814">
          <cell r="D814" t="str">
            <v>Battam Holder</v>
          </cell>
          <cell r="O814">
            <v>0</v>
          </cell>
        </row>
        <row r="815">
          <cell r="D815" t="str">
            <v>Battery Terminal Cap</v>
          </cell>
          <cell r="O815">
            <v>0</v>
          </cell>
        </row>
        <row r="816">
          <cell r="D816" t="str">
            <v>BBT Bas Bar-40 Amp</v>
          </cell>
          <cell r="O816">
            <v>0</v>
          </cell>
        </row>
        <row r="817">
          <cell r="D817" t="str">
            <v>BBT Tap off Plug L-1 10Amp</v>
          </cell>
          <cell r="O817">
            <v>5</v>
          </cell>
        </row>
        <row r="818">
          <cell r="D818" t="str">
            <v>BBT Tap off Plug L-2 10Amp</v>
          </cell>
          <cell r="O818">
            <v>5</v>
          </cell>
        </row>
        <row r="819">
          <cell r="D819" t="str">
            <v>BBT Tap off Plug L-3 10Amp</v>
          </cell>
          <cell r="O819">
            <v>20</v>
          </cell>
        </row>
        <row r="820">
          <cell r="D820" t="str">
            <v>Blind Rivets</v>
          </cell>
          <cell r="O820">
            <v>0</v>
          </cell>
        </row>
        <row r="821">
          <cell r="D821" t="str">
            <v xml:space="preserve">Bulb Multi-Holder </v>
          </cell>
          <cell r="O821">
            <v>0</v>
          </cell>
        </row>
        <row r="822">
          <cell r="D822" t="str">
            <v>C Pvc Ball Valve-3/4''</v>
          </cell>
          <cell r="O822">
            <v>0</v>
          </cell>
        </row>
        <row r="823">
          <cell r="D823" t="str">
            <v>C Pvc Elbow-3/4"</v>
          </cell>
          <cell r="O823">
            <v>0</v>
          </cell>
        </row>
        <row r="824">
          <cell r="D824" t="str">
            <v>C Pvc F-Elbow-3/4x1/2</v>
          </cell>
          <cell r="O824">
            <v>0</v>
          </cell>
        </row>
        <row r="825">
          <cell r="D825" t="str">
            <v>C Pvc Pipe-3/4"</v>
          </cell>
          <cell r="O825">
            <v>0</v>
          </cell>
        </row>
        <row r="826">
          <cell r="D826" t="str">
            <v>C Pvc Socket-3/4</v>
          </cell>
          <cell r="O826">
            <v>0</v>
          </cell>
        </row>
        <row r="827">
          <cell r="D827" t="str">
            <v>C Pvc Tee-3/4"</v>
          </cell>
          <cell r="O827">
            <v>0</v>
          </cell>
        </row>
        <row r="828">
          <cell r="D828" t="str">
            <v>C/M Plug Set Male/Female</v>
          </cell>
          <cell r="O828">
            <v>0</v>
          </cell>
        </row>
        <row r="829">
          <cell r="D829" t="str">
            <v>Cable Clip-8mm</v>
          </cell>
          <cell r="O829">
            <v>0</v>
          </cell>
        </row>
        <row r="830">
          <cell r="D830" t="str">
            <v>Cable Connector-10Amp</v>
          </cell>
          <cell r="O830">
            <v>0</v>
          </cell>
        </row>
        <row r="831">
          <cell r="D831" t="str">
            <v>Cable Ferul-04rm</v>
          </cell>
          <cell r="O831">
            <v>0</v>
          </cell>
        </row>
        <row r="832">
          <cell r="D832" t="str">
            <v>Cable Ferul-06rm</v>
          </cell>
          <cell r="O832">
            <v>0</v>
          </cell>
        </row>
        <row r="833">
          <cell r="D833" t="str">
            <v>Cable Ferul-2 mm</v>
          </cell>
          <cell r="O833">
            <v>0</v>
          </cell>
        </row>
        <row r="834">
          <cell r="D834" t="str">
            <v>Cable Ferul-25rm</v>
          </cell>
          <cell r="O834">
            <v>0</v>
          </cell>
        </row>
        <row r="835">
          <cell r="D835" t="str">
            <v>Cable I Lugs-01rm-Black</v>
          </cell>
          <cell r="O835">
            <v>0</v>
          </cell>
        </row>
        <row r="836">
          <cell r="D836" t="str">
            <v>Cable I Lugs-01rm-Blue</v>
          </cell>
          <cell r="O836">
            <v>0</v>
          </cell>
        </row>
        <row r="837">
          <cell r="D837" t="str">
            <v>Cable I Lugs-01rm-Red</v>
          </cell>
          <cell r="O837">
            <v>0</v>
          </cell>
        </row>
        <row r="838">
          <cell r="D838" t="str">
            <v>Cable I Lugs-01rm-Yellow</v>
          </cell>
          <cell r="O838">
            <v>0</v>
          </cell>
        </row>
        <row r="839">
          <cell r="D839" t="str">
            <v>Cable I Lugs-04rm-Black</v>
          </cell>
          <cell r="O839">
            <v>0</v>
          </cell>
        </row>
        <row r="840">
          <cell r="D840" t="str">
            <v>Cable I Lugs-04rm-Blue</v>
          </cell>
          <cell r="O840">
            <v>0</v>
          </cell>
        </row>
        <row r="841">
          <cell r="D841" t="str">
            <v>Cable I Lugs-04rm-Green</v>
          </cell>
          <cell r="O841">
            <v>0</v>
          </cell>
        </row>
        <row r="842">
          <cell r="D842" t="str">
            <v>Cable I Lugs-04rm-Red</v>
          </cell>
          <cell r="O842">
            <v>0</v>
          </cell>
        </row>
        <row r="843">
          <cell r="D843" t="str">
            <v>Cable I Lugs-04rm-Yellow</v>
          </cell>
          <cell r="O843">
            <v>0</v>
          </cell>
        </row>
        <row r="844">
          <cell r="D844" t="str">
            <v>Cable I Lugs-06rm-Black</v>
          </cell>
          <cell r="O844">
            <v>0</v>
          </cell>
        </row>
        <row r="845">
          <cell r="D845" t="str">
            <v>Cable I Lugs-06rm-Blue</v>
          </cell>
          <cell r="O845">
            <v>0</v>
          </cell>
        </row>
        <row r="846">
          <cell r="D846" t="str">
            <v>Cable I Lugs-06rm-Green</v>
          </cell>
          <cell r="O846">
            <v>0</v>
          </cell>
        </row>
        <row r="847">
          <cell r="D847" t="str">
            <v>Cable I Lugs-06rm-Red</v>
          </cell>
          <cell r="O847">
            <v>0</v>
          </cell>
        </row>
        <row r="848">
          <cell r="D848" t="str">
            <v>Cable I Lugs-06rm-Yellow</v>
          </cell>
          <cell r="O848">
            <v>0</v>
          </cell>
        </row>
        <row r="849">
          <cell r="D849" t="str">
            <v>Cable I Lugs-1.5 rm-Black</v>
          </cell>
          <cell r="O849">
            <v>0</v>
          </cell>
        </row>
        <row r="850">
          <cell r="D850" t="str">
            <v>Cable I Lugs-1.5 rm-Blue</v>
          </cell>
          <cell r="O850">
            <v>0</v>
          </cell>
        </row>
        <row r="851">
          <cell r="D851" t="str">
            <v>Cable I Lugs-1.5 rm-Green</v>
          </cell>
          <cell r="O851">
            <v>0</v>
          </cell>
        </row>
        <row r="852">
          <cell r="D852" t="str">
            <v>Cable I Lugs-1.5 rm-Red</v>
          </cell>
          <cell r="O852">
            <v>0</v>
          </cell>
        </row>
        <row r="853">
          <cell r="D853" t="str">
            <v>Cable I Lugs-1.5 rm-Yellow</v>
          </cell>
          <cell r="O853">
            <v>0</v>
          </cell>
        </row>
        <row r="854">
          <cell r="D854" t="str">
            <v>Cable I Lugs-10rm-Black</v>
          </cell>
          <cell r="O854">
            <v>0</v>
          </cell>
        </row>
        <row r="855">
          <cell r="D855" t="str">
            <v>Cable I Lugs-10rm-Blue</v>
          </cell>
          <cell r="O855">
            <v>0</v>
          </cell>
        </row>
        <row r="856">
          <cell r="D856" t="str">
            <v>Cable I Lugs-10rm-Green</v>
          </cell>
          <cell r="O856">
            <v>5</v>
          </cell>
        </row>
        <row r="857">
          <cell r="D857" t="str">
            <v>Cable I Lugs-10rm-Red</v>
          </cell>
          <cell r="O857">
            <v>0</v>
          </cell>
        </row>
        <row r="858">
          <cell r="D858" t="str">
            <v>Cable I Lugs-10rm-Yellow</v>
          </cell>
          <cell r="O858">
            <v>0</v>
          </cell>
        </row>
        <row r="859">
          <cell r="D859" t="str">
            <v>Cable I Lugs-2.5rm-Black</v>
          </cell>
          <cell r="O859">
            <v>0</v>
          </cell>
        </row>
        <row r="860">
          <cell r="D860" t="str">
            <v>Cable I Lugs-2.5rm-Blue</v>
          </cell>
          <cell r="O860">
            <v>0</v>
          </cell>
        </row>
        <row r="861">
          <cell r="D861" t="str">
            <v>Cable I Lugs-2.5rm-Green</v>
          </cell>
          <cell r="O861">
            <v>0</v>
          </cell>
        </row>
        <row r="862">
          <cell r="D862" t="str">
            <v>Cable I Lugs-2.5rm-Red</v>
          </cell>
          <cell r="O862">
            <v>0</v>
          </cell>
        </row>
        <row r="863">
          <cell r="D863" t="str">
            <v>Cable I Lugs-2.5rm-Yellow</v>
          </cell>
          <cell r="O863">
            <v>0</v>
          </cell>
        </row>
        <row r="864">
          <cell r="D864" t="str">
            <v>Cable I Lugs-25rm-Blue</v>
          </cell>
          <cell r="O864">
            <v>0</v>
          </cell>
        </row>
        <row r="865">
          <cell r="D865" t="str">
            <v>Cable I Lugs-25rm-Red</v>
          </cell>
          <cell r="O865">
            <v>0</v>
          </cell>
        </row>
        <row r="866">
          <cell r="D866" t="str">
            <v>Cable I Lugs-25rm-Yellow</v>
          </cell>
          <cell r="O866">
            <v>0</v>
          </cell>
        </row>
        <row r="867">
          <cell r="D867" t="str">
            <v>Cable Numbering 0-09</v>
          </cell>
          <cell r="O867">
            <v>0</v>
          </cell>
        </row>
        <row r="868">
          <cell r="D868" t="str">
            <v>Cable Numbering A-Z</v>
          </cell>
          <cell r="O868">
            <v>0</v>
          </cell>
        </row>
        <row r="869">
          <cell r="D869" t="str">
            <v>Cable O Lugs-01rm-Black</v>
          </cell>
          <cell r="O869">
            <v>0</v>
          </cell>
        </row>
        <row r="870">
          <cell r="D870" t="str">
            <v>Cable O Lugs-01rm-Blue</v>
          </cell>
          <cell r="O870">
            <v>0</v>
          </cell>
        </row>
        <row r="871">
          <cell r="D871" t="str">
            <v>Cable O Lugs-01rm-Green</v>
          </cell>
          <cell r="O871">
            <v>0</v>
          </cell>
        </row>
        <row r="872">
          <cell r="D872" t="str">
            <v>Cable O Lugs-01rm-Red</v>
          </cell>
          <cell r="O872">
            <v>0</v>
          </cell>
        </row>
        <row r="873">
          <cell r="D873" t="str">
            <v>Cable O Lugs-01rm-Yellow</v>
          </cell>
          <cell r="O873">
            <v>0</v>
          </cell>
        </row>
        <row r="874">
          <cell r="D874" t="str">
            <v>Cable O Lugs-04rm-Black</v>
          </cell>
          <cell r="O874">
            <v>0</v>
          </cell>
        </row>
        <row r="875">
          <cell r="D875" t="str">
            <v>Cable O Lugs-04rm-Blue</v>
          </cell>
          <cell r="O875">
            <v>0</v>
          </cell>
        </row>
        <row r="876">
          <cell r="D876" t="str">
            <v>Cable O Lugs-04rm-Green</v>
          </cell>
          <cell r="O876">
            <v>0</v>
          </cell>
        </row>
        <row r="877">
          <cell r="D877" t="str">
            <v>Cable O Lugs-04rm-Red</v>
          </cell>
          <cell r="O877">
            <v>0</v>
          </cell>
        </row>
        <row r="878">
          <cell r="D878" t="str">
            <v>Cable O Lugs-04rm-Yellow</v>
          </cell>
          <cell r="O878">
            <v>0</v>
          </cell>
        </row>
        <row r="879">
          <cell r="D879" t="str">
            <v>Cable O Lugs-06rm-Black</v>
          </cell>
          <cell r="O879">
            <v>0</v>
          </cell>
        </row>
        <row r="880">
          <cell r="D880" t="str">
            <v>Cable O Lugs-06rm-Blue</v>
          </cell>
          <cell r="O880">
            <v>0</v>
          </cell>
        </row>
        <row r="881">
          <cell r="D881" t="str">
            <v>Cable O Lugs-06rm-Green</v>
          </cell>
          <cell r="O881">
            <v>0</v>
          </cell>
        </row>
        <row r="882">
          <cell r="D882" t="str">
            <v>Cable O Lugs-06rm-Red</v>
          </cell>
          <cell r="O882">
            <v>0</v>
          </cell>
        </row>
        <row r="883">
          <cell r="D883" t="str">
            <v>Cable O Lugs-06rm-Yellow</v>
          </cell>
          <cell r="O883">
            <v>0</v>
          </cell>
        </row>
        <row r="884">
          <cell r="D884" t="str">
            <v>Cable O Lugs-10rm-Black</v>
          </cell>
          <cell r="O884">
            <v>0</v>
          </cell>
        </row>
        <row r="885">
          <cell r="D885" t="str">
            <v>Cable O Lugs-10rm-Blue</v>
          </cell>
          <cell r="O885">
            <v>0</v>
          </cell>
        </row>
        <row r="886">
          <cell r="D886" t="str">
            <v>Cable O Lugs-10rm-Green</v>
          </cell>
          <cell r="O886">
            <v>0</v>
          </cell>
        </row>
        <row r="887">
          <cell r="D887" t="str">
            <v>Cable O Lugs-10rm-Red</v>
          </cell>
          <cell r="O887">
            <v>0</v>
          </cell>
        </row>
        <row r="888">
          <cell r="D888" t="str">
            <v>Cable O Lugs-10rm-Yellow</v>
          </cell>
          <cell r="O888">
            <v>0</v>
          </cell>
        </row>
        <row r="889">
          <cell r="D889" t="str">
            <v>Cable O Lugs-16rm-Black</v>
          </cell>
          <cell r="O889">
            <v>0</v>
          </cell>
        </row>
        <row r="890">
          <cell r="D890" t="str">
            <v>Cable O Lugs-16rm-Blue</v>
          </cell>
          <cell r="O890">
            <v>0</v>
          </cell>
        </row>
        <row r="891">
          <cell r="D891" t="str">
            <v>Cable O Lugs-16rm-Green</v>
          </cell>
          <cell r="O891">
            <v>0</v>
          </cell>
        </row>
        <row r="892">
          <cell r="D892" t="str">
            <v>Cable O Lugs-16rm-Red</v>
          </cell>
          <cell r="O892">
            <v>0</v>
          </cell>
        </row>
        <row r="893">
          <cell r="D893" t="str">
            <v>Cable O Lugs-16rm-Yellow</v>
          </cell>
          <cell r="O893">
            <v>0</v>
          </cell>
        </row>
        <row r="894">
          <cell r="D894" t="str">
            <v>Cable O Lugs-2.5rm-Black</v>
          </cell>
          <cell r="O894">
            <v>0</v>
          </cell>
        </row>
        <row r="895">
          <cell r="D895" t="str">
            <v>Cable O Lugs-2.5rm-Blue</v>
          </cell>
          <cell r="O895">
            <v>0</v>
          </cell>
        </row>
        <row r="896">
          <cell r="D896" t="str">
            <v>Cable O Lugs-2.5rm-Red</v>
          </cell>
          <cell r="O896">
            <v>0</v>
          </cell>
        </row>
        <row r="897">
          <cell r="D897" t="str">
            <v>Cable O Lugs-2.5rm-Yellow</v>
          </cell>
          <cell r="O897">
            <v>0</v>
          </cell>
        </row>
        <row r="898">
          <cell r="D898" t="str">
            <v>Cable O Lugs-25rm-Black</v>
          </cell>
          <cell r="O898">
            <v>0</v>
          </cell>
        </row>
        <row r="899">
          <cell r="D899" t="str">
            <v>Cable O Lugs-25rm-Blue</v>
          </cell>
          <cell r="O899">
            <v>0</v>
          </cell>
        </row>
        <row r="900">
          <cell r="D900" t="str">
            <v>Cable O Lugs-25rm-Green</v>
          </cell>
          <cell r="O900">
            <v>0</v>
          </cell>
        </row>
        <row r="901">
          <cell r="D901" t="str">
            <v>Cable O Lugs-25rm-Red</v>
          </cell>
          <cell r="O901">
            <v>0</v>
          </cell>
        </row>
        <row r="902">
          <cell r="D902" t="str">
            <v>Cable O Lugs-25rm-Yellow</v>
          </cell>
          <cell r="O902">
            <v>0</v>
          </cell>
        </row>
        <row r="903">
          <cell r="D903" t="str">
            <v>Cable O Lugs-35rm-Green</v>
          </cell>
          <cell r="O903">
            <v>0</v>
          </cell>
        </row>
        <row r="904">
          <cell r="D904" t="str">
            <v>Cable O Lugs-50rm-Blue</v>
          </cell>
          <cell r="O904">
            <v>0</v>
          </cell>
        </row>
        <row r="905">
          <cell r="D905" t="str">
            <v>Cable O Lugs-50rm-Red</v>
          </cell>
          <cell r="O905">
            <v>0</v>
          </cell>
        </row>
        <row r="906">
          <cell r="D906" t="str">
            <v>Cable O Lugs-50rm-Yellow</v>
          </cell>
          <cell r="O906">
            <v>0</v>
          </cell>
        </row>
        <row r="907">
          <cell r="D907" t="str">
            <v>Cable O Lugs-70rm-Black</v>
          </cell>
          <cell r="O907">
            <v>0</v>
          </cell>
        </row>
        <row r="908">
          <cell r="D908" t="str">
            <v>Cable O Lugs-70rm-Blue</v>
          </cell>
          <cell r="O908">
            <v>0</v>
          </cell>
        </row>
        <row r="909">
          <cell r="D909" t="str">
            <v>Cable O Lugs-70rm-Red</v>
          </cell>
          <cell r="O909">
            <v>0</v>
          </cell>
        </row>
        <row r="910">
          <cell r="D910" t="str">
            <v>Cable O Lugs-70rm-Yellow</v>
          </cell>
          <cell r="O910">
            <v>0</v>
          </cell>
        </row>
        <row r="911">
          <cell r="D911" t="str">
            <v>Cable Tie-100mm</v>
          </cell>
          <cell r="O911">
            <v>5</v>
          </cell>
        </row>
        <row r="912">
          <cell r="D912" t="str">
            <v>Cable Tie-150mm</v>
          </cell>
          <cell r="O912">
            <v>0</v>
          </cell>
        </row>
        <row r="913">
          <cell r="D913" t="str">
            <v>Cable Tie-200mm</v>
          </cell>
          <cell r="O913">
            <v>7</v>
          </cell>
        </row>
        <row r="914">
          <cell r="D914" t="str">
            <v>Cable Tie-250mm</v>
          </cell>
          <cell r="O914">
            <v>0</v>
          </cell>
        </row>
        <row r="915">
          <cell r="D915" t="str">
            <v>Cable Tie-300mm</v>
          </cell>
          <cell r="O915">
            <v>6</v>
          </cell>
        </row>
        <row r="916">
          <cell r="D916" t="str">
            <v>Cable Tie-400mm</v>
          </cell>
          <cell r="O916">
            <v>0</v>
          </cell>
        </row>
        <row r="917">
          <cell r="D917" t="str">
            <v>Cable Tray(4"x3")</v>
          </cell>
          <cell r="O917">
            <v>0</v>
          </cell>
        </row>
        <row r="918">
          <cell r="D918" t="str">
            <v>Capacitor 20 uf</v>
          </cell>
          <cell r="O918">
            <v>0</v>
          </cell>
        </row>
        <row r="919">
          <cell r="D919" t="str">
            <v>Cardisk Circuit Board</v>
          </cell>
          <cell r="O919">
            <v>0</v>
          </cell>
        </row>
        <row r="920">
          <cell r="D920" t="str">
            <v>Ceiling Fan Capacitor 2.5MF</v>
          </cell>
          <cell r="O920">
            <v>7</v>
          </cell>
        </row>
        <row r="921">
          <cell r="D921" t="str">
            <v>Ceiling Spot Light-12 Watt</v>
          </cell>
          <cell r="O921">
            <v>0</v>
          </cell>
        </row>
        <row r="922">
          <cell r="D922" t="str">
            <v>Celling Fan Canobi</v>
          </cell>
          <cell r="O922">
            <v>0</v>
          </cell>
        </row>
        <row r="923">
          <cell r="D923" t="str">
            <v>Celling Fan-56"</v>
          </cell>
          <cell r="O923">
            <v>0</v>
          </cell>
        </row>
        <row r="924">
          <cell r="D924" t="str">
            <v>Circuit Breaker SP-03A (ABB)</v>
          </cell>
          <cell r="O924">
            <v>0</v>
          </cell>
        </row>
        <row r="925">
          <cell r="D925" t="str">
            <v>Circuit Breaker SP-04A(ABB)</v>
          </cell>
          <cell r="O925">
            <v>0</v>
          </cell>
        </row>
        <row r="926">
          <cell r="D926" t="str">
            <v>Circuit Breaker SP-06A(ABB)</v>
          </cell>
          <cell r="O926">
            <v>0</v>
          </cell>
        </row>
        <row r="927">
          <cell r="D927" t="str">
            <v>Circuit Breaker SP-10A(ABB)</v>
          </cell>
          <cell r="O927">
            <v>0</v>
          </cell>
        </row>
        <row r="928">
          <cell r="D928" t="str">
            <v>Circuit Breaker SP-10A(Siemens)</v>
          </cell>
          <cell r="O928">
            <v>0</v>
          </cell>
        </row>
        <row r="929">
          <cell r="D929" t="str">
            <v>Circuit Breaker SP-20A(ABB)</v>
          </cell>
          <cell r="O929">
            <v>0</v>
          </cell>
        </row>
        <row r="930">
          <cell r="D930" t="str">
            <v>Circuit Breaker SP-20A(Siemens)</v>
          </cell>
          <cell r="O930">
            <v>0</v>
          </cell>
        </row>
        <row r="931">
          <cell r="D931" t="str">
            <v>Circuit Breaker SP-25A(ABB)</v>
          </cell>
          <cell r="O931">
            <v>0</v>
          </cell>
        </row>
        <row r="932">
          <cell r="D932" t="str">
            <v>Circuit Breaker SP-32A(ABB)</v>
          </cell>
          <cell r="O932">
            <v>0</v>
          </cell>
        </row>
        <row r="933">
          <cell r="D933" t="str">
            <v>Circuit Breaker SP-40A(ABB)</v>
          </cell>
          <cell r="O933">
            <v>0</v>
          </cell>
        </row>
        <row r="934">
          <cell r="D934" t="str">
            <v>Circuit Breaker TP-100A(ABB)</v>
          </cell>
          <cell r="O934">
            <v>0</v>
          </cell>
        </row>
        <row r="935">
          <cell r="D935" t="str">
            <v>Circuit Breaker TP-10A(ABB)</v>
          </cell>
          <cell r="O935">
            <v>0</v>
          </cell>
        </row>
        <row r="936">
          <cell r="D936" t="str">
            <v>Circuit Breaker TP-10A(Siemens)</v>
          </cell>
          <cell r="O936">
            <v>0</v>
          </cell>
        </row>
        <row r="937">
          <cell r="D937" t="str">
            <v>Circuit Breaker TP-16A(ABB)</v>
          </cell>
          <cell r="O937">
            <v>0</v>
          </cell>
        </row>
        <row r="938">
          <cell r="D938" t="str">
            <v>Circuit Breaker TP-16A(Siemens)</v>
          </cell>
          <cell r="O938">
            <v>0</v>
          </cell>
        </row>
        <row r="939">
          <cell r="D939" t="str">
            <v>Circuit Breaker TP-200A(ABB)</v>
          </cell>
          <cell r="O939">
            <v>0</v>
          </cell>
        </row>
        <row r="940">
          <cell r="D940" t="str">
            <v>Circuit Breaker TP-25A (Schneider)</v>
          </cell>
          <cell r="O940">
            <v>0</v>
          </cell>
        </row>
        <row r="941">
          <cell r="D941" t="str">
            <v>Circuit Breaker TP-25A(ABB)</v>
          </cell>
          <cell r="O941">
            <v>0</v>
          </cell>
        </row>
        <row r="942">
          <cell r="D942" t="str">
            <v>Circuit Breaker TP-32A (Schneider)</v>
          </cell>
          <cell r="O942">
            <v>0</v>
          </cell>
        </row>
        <row r="943">
          <cell r="D943" t="str">
            <v>Circuit Breaker TP-32A(ABB)</v>
          </cell>
          <cell r="O943">
            <v>0</v>
          </cell>
        </row>
        <row r="944">
          <cell r="D944" t="str">
            <v>Circuit Breaker TP-32A(Siemens)</v>
          </cell>
          <cell r="O944">
            <v>0</v>
          </cell>
        </row>
        <row r="945">
          <cell r="D945" t="str">
            <v>Circuit Breaker TP-40A (Schneider)</v>
          </cell>
          <cell r="O945">
            <v>0</v>
          </cell>
        </row>
        <row r="946">
          <cell r="D946" t="str">
            <v>Circuit Breaker TP-40A(ABB)</v>
          </cell>
          <cell r="O946">
            <v>0</v>
          </cell>
        </row>
        <row r="947">
          <cell r="D947" t="str">
            <v>Circuit Breaker TP-80A(ABB)</v>
          </cell>
          <cell r="O947">
            <v>0</v>
          </cell>
        </row>
        <row r="948">
          <cell r="D948" t="str">
            <v xml:space="preserve">Close Motor Capacitor </v>
          </cell>
          <cell r="O948">
            <v>0</v>
          </cell>
        </row>
        <row r="949">
          <cell r="D949" t="str">
            <v>Clutch Motor Cork Sheet</v>
          </cell>
          <cell r="O949">
            <v>0</v>
          </cell>
        </row>
        <row r="950">
          <cell r="D950" t="str">
            <v>Clutch Motor Pully-50 mm</v>
          </cell>
          <cell r="O950">
            <v>0</v>
          </cell>
        </row>
        <row r="951">
          <cell r="D951" t="str">
            <v>Clutch Motor Pully-55 mm</v>
          </cell>
          <cell r="O951">
            <v>0</v>
          </cell>
        </row>
        <row r="952">
          <cell r="D952" t="str">
            <v>Contrack Cleaner</v>
          </cell>
          <cell r="O952">
            <v>0</v>
          </cell>
        </row>
        <row r="953">
          <cell r="D953" t="str">
            <v>Cutting Disk-04"</v>
          </cell>
          <cell r="O953">
            <v>0</v>
          </cell>
        </row>
        <row r="954">
          <cell r="D954" t="str">
            <v>Cutting Machine Clas</v>
          </cell>
          <cell r="O954">
            <v>0</v>
          </cell>
        </row>
        <row r="955">
          <cell r="D955" t="str">
            <v>Cutting Machine On/Off Switch</v>
          </cell>
          <cell r="O955">
            <v>0</v>
          </cell>
        </row>
        <row r="956">
          <cell r="D956" t="str">
            <v>D65 Tube Light-3'</v>
          </cell>
          <cell r="O956">
            <v>0</v>
          </cell>
        </row>
        <row r="957">
          <cell r="D957" t="str">
            <v>D65 Tube Light-4'</v>
          </cell>
          <cell r="O957">
            <v>0</v>
          </cell>
        </row>
        <row r="958">
          <cell r="D958" t="str">
            <v>DB Board Pull Lock-Big</v>
          </cell>
          <cell r="O958">
            <v>0</v>
          </cell>
        </row>
        <row r="959">
          <cell r="D959" t="str">
            <v>DB Board Pull Lock-Small</v>
          </cell>
          <cell r="O959">
            <v>0</v>
          </cell>
        </row>
        <row r="960">
          <cell r="D960" t="str">
            <v>Down Filling  M/C Power Supply</v>
          </cell>
          <cell r="O960">
            <v>0</v>
          </cell>
        </row>
        <row r="961">
          <cell r="D961" t="str">
            <v xml:space="preserve">Down Filling On/Of Switch </v>
          </cell>
          <cell r="O961">
            <v>0</v>
          </cell>
        </row>
        <row r="962">
          <cell r="D962" t="str">
            <v>Drop In Anchor Unifix-08mm</v>
          </cell>
          <cell r="O962">
            <v>0</v>
          </cell>
        </row>
        <row r="963">
          <cell r="D963" t="str">
            <v>Drop In Anchor Unifix-10mm</v>
          </cell>
          <cell r="O963">
            <v>0</v>
          </cell>
        </row>
        <row r="964">
          <cell r="D964" t="str">
            <v>Ebonite Board-10"/10"</v>
          </cell>
          <cell r="O964">
            <v>0</v>
          </cell>
        </row>
        <row r="965">
          <cell r="D965" t="str">
            <v>Ebonite Board-7"/7"</v>
          </cell>
          <cell r="O965">
            <v>0</v>
          </cell>
        </row>
        <row r="966">
          <cell r="D966" t="str">
            <v>Electric  Tester</v>
          </cell>
          <cell r="O966">
            <v>0</v>
          </cell>
        </row>
        <row r="967">
          <cell r="D967" t="str">
            <v>Electric Carbon With Spring ( Big )</v>
          </cell>
          <cell r="O967">
            <v>0</v>
          </cell>
        </row>
        <row r="968">
          <cell r="D968" t="str">
            <v>Electric Carbon With Spring ( Small )</v>
          </cell>
          <cell r="O968">
            <v>0</v>
          </cell>
        </row>
        <row r="969">
          <cell r="D969" t="str">
            <v>Electric Pvc Tape-Black</v>
          </cell>
          <cell r="O969">
            <v>10</v>
          </cell>
        </row>
        <row r="970">
          <cell r="D970" t="str">
            <v>Electric Pvc Tape-Blue</v>
          </cell>
          <cell r="O970">
            <v>2</v>
          </cell>
        </row>
        <row r="971">
          <cell r="D971" t="str">
            <v>Electric Pvc Tape-Green</v>
          </cell>
          <cell r="O971">
            <v>2</v>
          </cell>
        </row>
        <row r="972">
          <cell r="D972" t="str">
            <v>Electric Pvc Tape-Red</v>
          </cell>
          <cell r="O972">
            <v>0</v>
          </cell>
        </row>
        <row r="973">
          <cell r="D973" t="str">
            <v>Electric Pvc Tape-Yellow</v>
          </cell>
          <cell r="O973">
            <v>0</v>
          </cell>
        </row>
        <row r="974">
          <cell r="D974" t="str">
            <v>Electric Safety Shoes</v>
          </cell>
          <cell r="O974">
            <v>0</v>
          </cell>
        </row>
        <row r="975">
          <cell r="D975" t="str">
            <v>Electric Steam Iron Shoe-(es-300)</v>
          </cell>
          <cell r="O975">
            <v>0</v>
          </cell>
        </row>
        <row r="976">
          <cell r="D976" t="str">
            <v>Electrical Safety Helmet</v>
          </cell>
          <cell r="O976">
            <v>0</v>
          </cell>
        </row>
        <row r="977">
          <cell r="D977" t="str">
            <v>Emergency LED Tube Light Single Shade</v>
          </cell>
          <cell r="O977">
            <v>15</v>
          </cell>
        </row>
        <row r="978">
          <cell r="D978" t="str">
            <v xml:space="preserve">Emergency Switch </v>
          </cell>
          <cell r="O978">
            <v>0</v>
          </cell>
        </row>
        <row r="979">
          <cell r="D979" t="str">
            <v>End Cutter M/C Carbon</v>
          </cell>
          <cell r="O979">
            <v>0</v>
          </cell>
        </row>
        <row r="980">
          <cell r="D980" t="str">
            <v>Exhust Fan Belt B-84</v>
          </cell>
          <cell r="O980">
            <v>0</v>
          </cell>
        </row>
        <row r="981">
          <cell r="D981" t="str">
            <v>Exhust Fan Belt B-85</v>
          </cell>
          <cell r="O981">
            <v>6</v>
          </cell>
        </row>
        <row r="982">
          <cell r="D982" t="str">
            <v>Exhust Fan Belt B-86</v>
          </cell>
          <cell r="O982">
            <v>0</v>
          </cell>
        </row>
        <row r="983">
          <cell r="D983" t="str">
            <v>Exhust Fan Pully</v>
          </cell>
          <cell r="O983">
            <v>0</v>
          </cell>
        </row>
        <row r="984">
          <cell r="D984" t="str">
            <v>Exhust Fan-12"</v>
          </cell>
          <cell r="O984">
            <v>0</v>
          </cell>
        </row>
        <row r="985">
          <cell r="D985" t="str">
            <v>Exhust Fan-8"</v>
          </cell>
          <cell r="O985">
            <v>0</v>
          </cell>
        </row>
        <row r="986">
          <cell r="D986" t="str">
            <v>Exit Light (08"x12")</v>
          </cell>
          <cell r="O986">
            <v>0</v>
          </cell>
        </row>
        <row r="987">
          <cell r="D987" t="str">
            <v>Exit Light (10"x15")</v>
          </cell>
          <cell r="O987">
            <v>0</v>
          </cell>
        </row>
        <row r="988">
          <cell r="D988" t="str">
            <v>Exit Light (18"x15")</v>
          </cell>
          <cell r="O988">
            <v>4</v>
          </cell>
        </row>
        <row r="989">
          <cell r="D989" t="str">
            <v>Fan Hook-15"</v>
          </cell>
          <cell r="O989">
            <v>0</v>
          </cell>
        </row>
        <row r="990">
          <cell r="D990" t="str">
            <v>Fan Hook-22"</v>
          </cell>
          <cell r="O990">
            <v>0</v>
          </cell>
        </row>
        <row r="991">
          <cell r="D991" t="str">
            <v>Filament Bulb-200 Watt</v>
          </cell>
          <cell r="O991">
            <v>0</v>
          </cell>
        </row>
        <row r="992">
          <cell r="D992" t="str">
            <v>Flance-01"</v>
          </cell>
          <cell r="O992">
            <v>0</v>
          </cell>
        </row>
        <row r="993">
          <cell r="D993" t="str">
            <v>Flance-02"</v>
          </cell>
          <cell r="O993">
            <v>0</v>
          </cell>
        </row>
        <row r="994">
          <cell r="D994" t="str">
            <v>Flance-1.5"</v>
          </cell>
          <cell r="O994">
            <v>0</v>
          </cell>
        </row>
        <row r="995">
          <cell r="D995" t="str">
            <v>Flat 3-Pin Plug</v>
          </cell>
          <cell r="O995">
            <v>36</v>
          </cell>
        </row>
        <row r="996">
          <cell r="D996" t="str">
            <v>Flat Pin Plug Fuse-10 Amp</v>
          </cell>
          <cell r="O996">
            <v>0</v>
          </cell>
        </row>
        <row r="997">
          <cell r="D997" t="str">
            <v>Flexiable Joint-300mmx1.5"</v>
          </cell>
          <cell r="O997">
            <v>0</v>
          </cell>
        </row>
        <row r="998">
          <cell r="D998" t="str">
            <v>Fuse-03 Amp</v>
          </cell>
          <cell r="O998">
            <v>0</v>
          </cell>
        </row>
        <row r="999">
          <cell r="D999" t="str">
            <v>Fuse-05 Amp</v>
          </cell>
          <cell r="O999">
            <v>0</v>
          </cell>
        </row>
        <row r="1000">
          <cell r="D1000" t="str">
            <v>Fuse-08 Amp</v>
          </cell>
          <cell r="O1000">
            <v>0</v>
          </cell>
        </row>
        <row r="1001">
          <cell r="D1001" t="str">
            <v>Fuse-10 Amp</v>
          </cell>
          <cell r="O1001">
            <v>124</v>
          </cell>
        </row>
        <row r="1002">
          <cell r="D1002" t="str">
            <v>Fuse-13 Amp</v>
          </cell>
          <cell r="O1002">
            <v>0</v>
          </cell>
        </row>
        <row r="1003">
          <cell r="D1003" t="str">
            <v>Fuse-15 Amp</v>
          </cell>
          <cell r="O1003">
            <v>0</v>
          </cell>
        </row>
        <row r="1004">
          <cell r="D1004" t="str">
            <v>Fuse-20 Amp</v>
          </cell>
          <cell r="O1004">
            <v>0</v>
          </cell>
        </row>
        <row r="1005">
          <cell r="D1005" t="str">
            <v>Fuse-25 Amp</v>
          </cell>
          <cell r="O1005">
            <v>0</v>
          </cell>
        </row>
        <row r="1006">
          <cell r="D1006" t="str">
            <v>Fusing Machine Belt-120XL</v>
          </cell>
          <cell r="O1006">
            <v>1</v>
          </cell>
        </row>
        <row r="1007">
          <cell r="D1007" t="str">
            <v>Ghat Nipple-1"</v>
          </cell>
          <cell r="O1007">
            <v>0</v>
          </cell>
        </row>
        <row r="1008">
          <cell r="D1008" t="str">
            <v>GI Bone Cap-01"</v>
          </cell>
          <cell r="O1008">
            <v>0</v>
          </cell>
        </row>
        <row r="1009">
          <cell r="D1009" t="str">
            <v>GI Bone Cap-02"</v>
          </cell>
          <cell r="O1009">
            <v>0</v>
          </cell>
        </row>
        <row r="1010">
          <cell r="D1010" t="str">
            <v>GI Bone Cap-1.5"</v>
          </cell>
          <cell r="O1010">
            <v>0</v>
          </cell>
        </row>
        <row r="1011">
          <cell r="D1011" t="str">
            <v>GI Clamp-1"</v>
          </cell>
          <cell r="O1011">
            <v>0</v>
          </cell>
        </row>
        <row r="1012">
          <cell r="D1012" t="str">
            <v>GI Clamp-3/4"</v>
          </cell>
          <cell r="O1012">
            <v>0</v>
          </cell>
        </row>
        <row r="1013">
          <cell r="D1013" t="str">
            <v>GI Elbow-3/4"</v>
          </cell>
          <cell r="O1013">
            <v>0</v>
          </cell>
        </row>
        <row r="1014">
          <cell r="D1014" t="str">
            <v>Gi Nipple-1/2"</v>
          </cell>
          <cell r="O1014">
            <v>0</v>
          </cell>
        </row>
        <row r="1015">
          <cell r="D1015" t="str">
            <v xml:space="preserve">GI Pipe Nipple-1/2" </v>
          </cell>
          <cell r="O1015">
            <v>0</v>
          </cell>
        </row>
        <row r="1016">
          <cell r="D1016" t="str">
            <v>GI Pipe-01"</v>
          </cell>
          <cell r="O1016">
            <v>0</v>
          </cell>
        </row>
        <row r="1017">
          <cell r="D1017" t="str">
            <v>GI Pipe-02"</v>
          </cell>
          <cell r="O1017">
            <v>0</v>
          </cell>
        </row>
        <row r="1018">
          <cell r="D1018" t="str">
            <v>GI Pipe-1.5"</v>
          </cell>
          <cell r="O1018">
            <v>0</v>
          </cell>
        </row>
        <row r="1019">
          <cell r="D1019" t="str">
            <v>GI Pipe-1/2"</v>
          </cell>
          <cell r="O1019">
            <v>0</v>
          </cell>
        </row>
        <row r="1020">
          <cell r="D1020" t="str">
            <v>GI Pipe-3/4"</v>
          </cell>
          <cell r="O1020">
            <v>0</v>
          </cell>
        </row>
        <row r="1021">
          <cell r="D1021" t="str">
            <v>Gi Reduser-1/1.5"</v>
          </cell>
          <cell r="O1021">
            <v>0</v>
          </cell>
        </row>
        <row r="1022">
          <cell r="D1022" t="str">
            <v>GI Socket-3/4"</v>
          </cell>
          <cell r="O1022">
            <v>0</v>
          </cell>
        </row>
        <row r="1023">
          <cell r="D1023" t="str">
            <v>GI Tee-1"</v>
          </cell>
          <cell r="O1023">
            <v>0</v>
          </cell>
        </row>
        <row r="1024">
          <cell r="D1024" t="str">
            <v>GI Tee-3/4"</v>
          </cell>
          <cell r="O1024">
            <v>0</v>
          </cell>
        </row>
        <row r="1025">
          <cell r="D1025" t="str">
            <v>Gi Union-1"</v>
          </cell>
          <cell r="O1025">
            <v>0</v>
          </cell>
        </row>
        <row r="1026">
          <cell r="D1026" t="str">
            <v>Gi Union-1.5"</v>
          </cell>
          <cell r="O1026">
            <v>0</v>
          </cell>
        </row>
        <row r="1027">
          <cell r="D1027" t="str">
            <v>Glass Woll-2"</v>
          </cell>
          <cell r="O1027">
            <v>0</v>
          </cell>
        </row>
        <row r="1028">
          <cell r="D1028" t="str">
            <v>Glue Gum-237ml</v>
          </cell>
          <cell r="O1028">
            <v>0</v>
          </cell>
        </row>
        <row r="1029">
          <cell r="D1029" t="str">
            <v>Granding Machine</v>
          </cell>
          <cell r="O1029">
            <v>0</v>
          </cell>
        </row>
        <row r="1030">
          <cell r="D1030" t="str">
            <v>Hammer Drill Bit-08mm</v>
          </cell>
          <cell r="O1030">
            <v>0</v>
          </cell>
        </row>
        <row r="1031">
          <cell r="D1031" t="str">
            <v>Hammer Drill Bit-10mm</v>
          </cell>
          <cell r="O1031">
            <v>0</v>
          </cell>
        </row>
        <row r="1032">
          <cell r="D1032" t="str">
            <v>Hammer Drill Bit-12mm</v>
          </cell>
          <cell r="O1032">
            <v>0</v>
          </cell>
        </row>
        <row r="1033">
          <cell r="D1033" t="str">
            <v>Hammer Drill Bit-14mm</v>
          </cell>
          <cell r="O1033">
            <v>1</v>
          </cell>
        </row>
        <row r="1034">
          <cell r="D1034" t="str">
            <v>Hammer Drill Bit-16mm</v>
          </cell>
          <cell r="O1034">
            <v>0</v>
          </cell>
        </row>
        <row r="1035">
          <cell r="D1035" t="str">
            <v>Hammer Drill Bit-18mm</v>
          </cell>
          <cell r="O1035">
            <v>0</v>
          </cell>
        </row>
        <row r="1036">
          <cell r="D1036" t="str">
            <v>Hammer Drill Bit-3/8mm</v>
          </cell>
          <cell r="O1036">
            <v>0</v>
          </cell>
        </row>
        <row r="1037">
          <cell r="D1037" t="str">
            <v>Hammer Drill Bit-6.5mm</v>
          </cell>
          <cell r="O1037">
            <v>0</v>
          </cell>
        </row>
        <row r="1038">
          <cell r="D1038" t="str">
            <v xml:space="preserve">Head Board Short Cable </v>
          </cell>
          <cell r="O1038">
            <v>0</v>
          </cell>
        </row>
        <row r="1039">
          <cell r="D1039" t="str">
            <v>Head Movement Pully</v>
          </cell>
          <cell r="O1039">
            <v>0</v>
          </cell>
        </row>
        <row r="1040">
          <cell r="D1040" t="str">
            <v>Heat Seal Machine Base Plate</v>
          </cell>
          <cell r="O1040">
            <v>0</v>
          </cell>
        </row>
        <row r="1041">
          <cell r="D1041" t="str">
            <v>Heat Seal Rubber( 4'x3')</v>
          </cell>
          <cell r="O1041">
            <v>0</v>
          </cell>
        </row>
        <row r="1042">
          <cell r="D1042" t="str">
            <v>Heat Shink Tube-10rm</v>
          </cell>
          <cell r="O1042">
            <v>0</v>
          </cell>
        </row>
        <row r="1043">
          <cell r="D1043" t="str">
            <v>Heat Shink Tube-240 rm</v>
          </cell>
          <cell r="O1043">
            <v>0</v>
          </cell>
        </row>
        <row r="1044">
          <cell r="D1044" t="str">
            <v>Heat Shink Tube-30rm</v>
          </cell>
          <cell r="O1044">
            <v>0</v>
          </cell>
        </row>
        <row r="1045">
          <cell r="D1045" t="str">
            <v>Indicator for DB Board</v>
          </cell>
          <cell r="O1045">
            <v>0</v>
          </cell>
        </row>
        <row r="1046">
          <cell r="D1046" t="str">
            <v>Insalition Wire -2mm</v>
          </cell>
          <cell r="O1046">
            <v>0</v>
          </cell>
        </row>
        <row r="1047">
          <cell r="D1047" t="str">
            <v>Iron Drill Bit-0.2mm</v>
          </cell>
          <cell r="O1047">
            <v>0</v>
          </cell>
        </row>
        <row r="1048">
          <cell r="D1048" t="str">
            <v>Iron Drill Bit-0.5mm</v>
          </cell>
          <cell r="O1048">
            <v>0</v>
          </cell>
        </row>
        <row r="1049">
          <cell r="D1049" t="str">
            <v>Iron Drill Bit-1/2mm</v>
          </cell>
          <cell r="O1049">
            <v>0</v>
          </cell>
        </row>
        <row r="1050">
          <cell r="D1050" t="str">
            <v>Iron Drill Bit-1/4mm</v>
          </cell>
          <cell r="O1050">
            <v>0</v>
          </cell>
        </row>
        <row r="1051">
          <cell r="D1051" t="str">
            <v>Iron Drill Bit-1/8mm</v>
          </cell>
          <cell r="O1051">
            <v>2</v>
          </cell>
        </row>
        <row r="1052">
          <cell r="D1052" t="str">
            <v>Iron Drill Bit-9/64mm</v>
          </cell>
          <cell r="O1052">
            <v>0</v>
          </cell>
        </row>
        <row r="1053">
          <cell r="D1053" t="str">
            <v>Iron Key Push Lever</v>
          </cell>
          <cell r="O1053">
            <v>0</v>
          </cell>
        </row>
        <row r="1054">
          <cell r="D1054" t="str">
            <v xml:space="preserve">Iron Key Spring </v>
          </cell>
          <cell r="O1054">
            <v>0</v>
          </cell>
        </row>
        <row r="1055">
          <cell r="D1055" t="str">
            <v>Iron Table Stead Bugs</v>
          </cell>
          <cell r="O1055">
            <v>0</v>
          </cell>
        </row>
        <row r="1056">
          <cell r="D1056" t="str">
            <v>J Hook-1.5"</v>
          </cell>
          <cell r="O1056">
            <v>0</v>
          </cell>
        </row>
        <row r="1057">
          <cell r="D1057" t="str">
            <v>Ladder-9 Step</v>
          </cell>
          <cell r="O1057">
            <v>0</v>
          </cell>
        </row>
        <row r="1058">
          <cell r="D1058" t="str">
            <v>Laser Light-Big (-)</v>
          </cell>
          <cell r="O1058">
            <v>0</v>
          </cell>
        </row>
        <row r="1059">
          <cell r="D1059" t="str">
            <v>Laser Light-Big (+)</v>
          </cell>
          <cell r="O1059">
            <v>0</v>
          </cell>
        </row>
        <row r="1060">
          <cell r="D1060" t="str">
            <v>Laser Light-Small (-)</v>
          </cell>
          <cell r="O1060">
            <v>0</v>
          </cell>
        </row>
        <row r="1061">
          <cell r="D1061" t="str">
            <v>Laser Light-Small (+)</v>
          </cell>
          <cell r="O1061">
            <v>0</v>
          </cell>
        </row>
        <row r="1062">
          <cell r="D1062" t="str">
            <v>LED 3000 Light-3'</v>
          </cell>
          <cell r="O1062">
            <v>0</v>
          </cell>
        </row>
        <row r="1063">
          <cell r="D1063" t="str">
            <v>Led Emergency Light</v>
          </cell>
          <cell r="O1063">
            <v>0</v>
          </cell>
        </row>
        <row r="1064">
          <cell r="D1064" t="str">
            <v>LED Flood Light-100 Watt</v>
          </cell>
          <cell r="O1064">
            <v>0</v>
          </cell>
        </row>
        <row r="1065">
          <cell r="D1065" t="str">
            <v>LED Flood Light-200 Watt</v>
          </cell>
          <cell r="O1065">
            <v>0</v>
          </cell>
        </row>
        <row r="1066">
          <cell r="D1066" t="str">
            <v>LED Fog Light</v>
          </cell>
          <cell r="O1066">
            <v>0</v>
          </cell>
        </row>
        <row r="1067">
          <cell r="D1067" t="str">
            <v>Led Light Thread Type-Yellow(9watt)</v>
          </cell>
          <cell r="O1067">
            <v>0</v>
          </cell>
        </row>
        <row r="1068">
          <cell r="D1068" t="str">
            <v>Led Light-05 Watt</v>
          </cell>
          <cell r="O1068">
            <v>20</v>
          </cell>
        </row>
        <row r="1069">
          <cell r="D1069" t="str">
            <v>Led Light-18 Watt</v>
          </cell>
          <cell r="O1069">
            <v>0</v>
          </cell>
        </row>
        <row r="1070">
          <cell r="D1070" t="str">
            <v>LED Tube Light Double Shade</v>
          </cell>
          <cell r="O1070">
            <v>0</v>
          </cell>
        </row>
        <row r="1071">
          <cell r="D1071" t="str">
            <v>LED Tube Light Single Shade</v>
          </cell>
          <cell r="O1071">
            <v>15</v>
          </cell>
        </row>
        <row r="1072">
          <cell r="D1072" t="str">
            <v>LED Tube Light-22 Watt</v>
          </cell>
          <cell r="O1072">
            <v>0</v>
          </cell>
        </row>
        <row r="1073">
          <cell r="D1073" t="str">
            <v>Lock Out Tag Out</v>
          </cell>
          <cell r="O1073">
            <v>0</v>
          </cell>
        </row>
        <row r="1074">
          <cell r="D1074" t="str">
            <v>Magic Flexible Pipe 6"</v>
          </cell>
          <cell r="O1074">
            <v>0</v>
          </cell>
        </row>
        <row r="1075">
          <cell r="D1075" t="str">
            <v>Magnetic Contactor</v>
          </cell>
          <cell r="O1075">
            <v>0</v>
          </cell>
        </row>
        <row r="1076">
          <cell r="D1076" t="str">
            <v>Metal Flexible Pipe 01"</v>
          </cell>
          <cell r="O1076">
            <v>0</v>
          </cell>
        </row>
        <row r="1077">
          <cell r="D1077" t="str">
            <v>Metal Flexible Pipe 1.5"</v>
          </cell>
          <cell r="O1077">
            <v>0</v>
          </cell>
        </row>
        <row r="1078">
          <cell r="D1078" t="str">
            <v>Metal Flexible Pipe 1/2"</v>
          </cell>
          <cell r="O1078">
            <v>1</v>
          </cell>
        </row>
        <row r="1079">
          <cell r="D1079" t="str">
            <v>Metal Flexible Pipe 3/4"</v>
          </cell>
          <cell r="O1079">
            <v>0</v>
          </cell>
        </row>
        <row r="1080">
          <cell r="D1080" t="str">
            <v>Metal Flexible Pipe-02"</v>
          </cell>
          <cell r="O1080">
            <v>0</v>
          </cell>
        </row>
        <row r="1081">
          <cell r="D1081" t="str">
            <v>Metal Joint Socket-3/4</v>
          </cell>
          <cell r="O1081">
            <v>0</v>
          </cell>
        </row>
        <row r="1082">
          <cell r="D1082" t="str">
            <v>Metal U-Ben1/2"(Both Side Thread)</v>
          </cell>
          <cell r="O1082">
            <v>0</v>
          </cell>
        </row>
        <row r="1083">
          <cell r="D1083" t="str">
            <v>Metal U-Ben1/2"(One Side Thread)</v>
          </cell>
          <cell r="O1083">
            <v>0</v>
          </cell>
        </row>
        <row r="1084">
          <cell r="D1084" t="str">
            <v>Micro/ Limit Switch-C-25</v>
          </cell>
          <cell r="O1084">
            <v>7</v>
          </cell>
        </row>
        <row r="1085">
          <cell r="D1085" t="str">
            <v>Micro/ Limit Switch-T-125</v>
          </cell>
          <cell r="O1085">
            <v>2</v>
          </cell>
        </row>
        <row r="1086">
          <cell r="D1086" t="str">
            <v>MK Box Cover</v>
          </cell>
          <cell r="O1086">
            <v>0</v>
          </cell>
        </row>
        <row r="1087">
          <cell r="D1087" t="str">
            <v>MK Box-01 Gang</v>
          </cell>
          <cell r="O1087">
            <v>10</v>
          </cell>
        </row>
        <row r="1088">
          <cell r="D1088" t="str">
            <v>MK Box-02 Gang</v>
          </cell>
          <cell r="O1088">
            <v>0</v>
          </cell>
        </row>
        <row r="1089">
          <cell r="D1089" t="str">
            <v>MK Box-03 Gang</v>
          </cell>
          <cell r="O1089">
            <v>0</v>
          </cell>
        </row>
        <row r="1090">
          <cell r="D1090" t="str">
            <v>MK Power Socket-05 Pin</v>
          </cell>
          <cell r="O1090">
            <v>20</v>
          </cell>
        </row>
        <row r="1091">
          <cell r="D1091" t="str">
            <v>MK Steel Box 1 Gang</v>
          </cell>
          <cell r="O1091">
            <v>0</v>
          </cell>
        </row>
        <row r="1092">
          <cell r="D1092" t="str">
            <v>MK Switch-02 Gang</v>
          </cell>
          <cell r="O1092">
            <v>1</v>
          </cell>
        </row>
        <row r="1093">
          <cell r="D1093" t="str">
            <v>MK Switch-03 Gang</v>
          </cell>
          <cell r="O1093">
            <v>0</v>
          </cell>
        </row>
        <row r="1094">
          <cell r="D1094" t="str">
            <v>MK Switch-04 Gang</v>
          </cell>
          <cell r="O1094">
            <v>0</v>
          </cell>
        </row>
        <row r="1095">
          <cell r="D1095" t="str">
            <v>MK Switch-05 Gang</v>
          </cell>
          <cell r="O1095">
            <v>0</v>
          </cell>
        </row>
        <row r="1096">
          <cell r="D1096" t="str">
            <v>Motor ON/OFF Switch</v>
          </cell>
          <cell r="O1096">
            <v>4</v>
          </cell>
        </row>
        <row r="1097">
          <cell r="D1097" t="str">
            <v>MS Angel-1.5mm</v>
          </cell>
          <cell r="O1097">
            <v>0</v>
          </cell>
        </row>
        <row r="1098">
          <cell r="D1098" t="str">
            <v>MS Bone Cap-1.5"</v>
          </cell>
          <cell r="O1098">
            <v>0</v>
          </cell>
        </row>
        <row r="1099">
          <cell r="D1099" t="str">
            <v>MS Elbow-01"</v>
          </cell>
          <cell r="O1099">
            <v>0</v>
          </cell>
        </row>
        <row r="1100">
          <cell r="D1100" t="str">
            <v>MS Elbow-02"</v>
          </cell>
          <cell r="O1100">
            <v>0</v>
          </cell>
        </row>
        <row r="1101">
          <cell r="D1101" t="str">
            <v>MS Elbow-1.5"</v>
          </cell>
          <cell r="O1101">
            <v>0</v>
          </cell>
        </row>
        <row r="1102">
          <cell r="D1102" t="str">
            <v>MS Elbow-1/2"</v>
          </cell>
          <cell r="O1102">
            <v>0</v>
          </cell>
        </row>
        <row r="1103">
          <cell r="D1103" t="str">
            <v>MS Nut Bolt With Washer-10x100mm</v>
          </cell>
          <cell r="O1103">
            <v>0</v>
          </cell>
        </row>
        <row r="1104">
          <cell r="D1104" t="str">
            <v>MS Nut Bolt With Washer-8.8x100mm</v>
          </cell>
          <cell r="O1104">
            <v>0</v>
          </cell>
        </row>
        <row r="1105">
          <cell r="D1105" t="str">
            <v>MS Pipe-1"</v>
          </cell>
          <cell r="O1105">
            <v>0</v>
          </cell>
        </row>
        <row r="1106">
          <cell r="D1106" t="str">
            <v>MS Pipe-1.5"</v>
          </cell>
          <cell r="O1106">
            <v>0</v>
          </cell>
        </row>
        <row r="1107">
          <cell r="D1107" t="str">
            <v>MS Reduser-1.25/1</v>
          </cell>
          <cell r="O1107">
            <v>0</v>
          </cell>
        </row>
        <row r="1108">
          <cell r="D1108" t="str">
            <v>MS Reduser-1.5/1.25</v>
          </cell>
          <cell r="O1108">
            <v>0</v>
          </cell>
        </row>
        <row r="1109">
          <cell r="D1109" t="str">
            <v>MS Reduser-25/15</v>
          </cell>
          <cell r="O1109">
            <v>0</v>
          </cell>
        </row>
        <row r="1110">
          <cell r="D1110" t="str">
            <v>MS T-01"</v>
          </cell>
          <cell r="O1110">
            <v>0</v>
          </cell>
        </row>
        <row r="1111">
          <cell r="D1111" t="str">
            <v>MS Tee-1.5/1</v>
          </cell>
          <cell r="O1111">
            <v>0</v>
          </cell>
        </row>
        <row r="1112">
          <cell r="D1112" t="str">
            <v>MS Tee-2.5/1</v>
          </cell>
          <cell r="O1112">
            <v>0</v>
          </cell>
        </row>
        <row r="1113">
          <cell r="D1113" t="str">
            <v>MS Tee-2/1</v>
          </cell>
          <cell r="O1113">
            <v>0</v>
          </cell>
        </row>
        <row r="1114">
          <cell r="D1114" t="str">
            <v>Mut Gut Screw-1.5"</v>
          </cell>
          <cell r="O1114">
            <v>0</v>
          </cell>
        </row>
        <row r="1115">
          <cell r="D1115" t="str">
            <v>Mut Gut Washer</v>
          </cell>
          <cell r="O1115">
            <v>0</v>
          </cell>
        </row>
        <row r="1116">
          <cell r="D1116" t="str">
            <v xml:space="preserve">Narrow  Iron Key </v>
          </cell>
          <cell r="O1116">
            <v>0</v>
          </cell>
        </row>
        <row r="1117">
          <cell r="D1117" t="str">
            <v>Narrow Steam Iron</v>
          </cell>
          <cell r="O1117">
            <v>0</v>
          </cell>
        </row>
        <row r="1118">
          <cell r="D1118" t="str">
            <v>Narrow Steam Iron Shoe(Bsp 200 Blue)</v>
          </cell>
          <cell r="O1118">
            <v>3</v>
          </cell>
        </row>
        <row r="1119">
          <cell r="D1119" t="str">
            <v>Non-Return Valve-1"</v>
          </cell>
          <cell r="O1119">
            <v>0</v>
          </cell>
        </row>
        <row r="1120">
          <cell r="D1120" t="str">
            <v>Panel Light-12 Watt</v>
          </cell>
          <cell r="O1120">
            <v>0</v>
          </cell>
        </row>
        <row r="1121">
          <cell r="D1121" t="str">
            <v>Pattern Cutter Machine Y Timing Belt</v>
          </cell>
          <cell r="O1121">
            <v>0</v>
          </cell>
        </row>
        <row r="1122">
          <cell r="D1122" t="str">
            <v xml:space="preserve">Pattern Cutting Machine Head Board </v>
          </cell>
          <cell r="O1122">
            <v>0</v>
          </cell>
        </row>
        <row r="1123">
          <cell r="D1123" t="str">
            <v>Pest Killer Light 1.5'</v>
          </cell>
          <cell r="O1123">
            <v>0</v>
          </cell>
        </row>
        <row r="1124">
          <cell r="D1124" t="str">
            <v>Phase Separetor</v>
          </cell>
          <cell r="O1124">
            <v>0</v>
          </cell>
        </row>
        <row r="1125">
          <cell r="D1125" t="str">
            <v xml:space="preserve">PIB Tape </v>
          </cell>
          <cell r="O1125">
            <v>0</v>
          </cell>
        </row>
        <row r="1126">
          <cell r="D1126" t="str">
            <v>Plastic Garden Pipe-1"</v>
          </cell>
          <cell r="O1126">
            <v>0</v>
          </cell>
        </row>
        <row r="1127">
          <cell r="D1127" t="str">
            <v>Plotter Machine  Motor</v>
          </cell>
          <cell r="O1127">
            <v>0</v>
          </cell>
        </row>
        <row r="1128">
          <cell r="D1128" t="str">
            <v>PP Belt M/C Power Supply</v>
          </cell>
          <cell r="O1128">
            <v>0</v>
          </cell>
        </row>
        <row r="1129">
          <cell r="D1129" t="str">
            <v>Preasure Gage Meter -3/8''</v>
          </cell>
          <cell r="O1129">
            <v>0</v>
          </cell>
        </row>
        <row r="1130">
          <cell r="D1130" t="str">
            <v xml:space="preserve">Push Bar </v>
          </cell>
          <cell r="O1130">
            <v>0</v>
          </cell>
        </row>
        <row r="1131">
          <cell r="D1131" t="str">
            <v>PVC Chanel-1"</v>
          </cell>
          <cell r="O1131">
            <v>0</v>
          </cell>
        </row>
        <row r="1132">
          <cell r="D1132" t="str">
            <v>PVC Chanel-1.5"</v>
          </cell>
          <cell r="O1132">
            <v>0</v>
          </cell>
        </row>
        <row r="1133">
          <cell r="D1133" t="str">
            <v>PVC Chanel-3/4"</v>
          </cell>
          <cell r="O1133">
            <v>0</v>
          </cell>
        </row>
        <row r="1134">
          <cell r="D1134" t="str">
            <v>Pvc Elbow-01"</v>
          </cell>
          <cell r="O1134">
            <v>0</v>
          </cell>
        </row>
        <row r="1135">
          <cell r="D1135" t="str">
            <v>Pvc Elbow-04"</v>
          </cell>
          <cell r="O1135">
            <v>0</v>
          </cell>
        </row>
        <row r="1136">
          <cell r="D1136" t="str">
            <v>Pvc Elbow-3/4"</v>
          </cell>
          <cell r="O1136">
            <v>0</v>
          </cell>
        </row>
        <row r="1137">
          <cell r="D1137" t="str">
            <v>Pvc Flexible Pipe 01"</v>
          </cell>
          <cell r="O1137">
            <v>0</v>
          </cell>
        </row>
        <row r="1138">
          <cell r="D1138" t="str">
            <v>Pvc Flexible Pipe 1/2"</v>
          </cell>
          <cell r="O1138">
            <v>0</v>
          </cell>
        </row>
        <row r="1139">
          <cell r="D1139" t="str">
            <v>Pvc Flexible Pipe 3/4"</v>
          </cell>
          <cell r="O1139">
            <v>0</v>
          </cell>
        </row>
        <row r="1140">
          <cell r="D1140" t="str">
            <v>Pvc Gallon-25</v>
          </cell>
          <cell r="O1140">
            <v>0</v>
          </cell>
        </row>
        <row r="1141">
          <cell r="D1141" t="str">
            <v>PVC Galon-PG19</v>
          </cell>
          <cell r="O1141">
            <v>0</v>
          </cell>
        </row>
        <row r="1142">
          <cell r="D1142" t="str">
            <v>PVC Long Trap-04"</v>
          </cell>
          <cell r="O1142">
            <v>0</v>
          </cell>
        </row>
        <row r="1143">
          <cell r="D1143" t="str">
            <v>Pvc Pipe-01''</v>
          </cell>
          <cell r="O1143">
            <v>0</v>
          </cell>
        </row>
        <row r="1144">
          <cell r="D1144" t="str">
            <v>Pvc Pipe-04''</v>
          </cell>
          <cell r="O1144">
            <v>0</v>
          </cell>
        </row>
        <row r="1145">
          <cell r="D1145" t="str">
            <v>Pvc Pipe-3/4''</v>
          </cell>
          <cell r="O1145">
            <v>0</v>
          </cell>
        </row>
        <row r="1146">
          <cell r="D1146" t="str">
            <v>Pvc Socket-01"</v>
          </cell>
          <cell r="O1146">
            <v>0</v>
          </cell>
        </row>
        <row r="1147">
          <cell r="D1147" t="str">
            <v>Pvc Socket-04"</v>
          </cell>
          <cell r="O1147">
            <v>0</v>
          </cell>
        </row>
        <row r="1148">
          <cell r="D1148" t="str">
            <v>Pvc Socket-1/2"</v>
          </cell>
          <cell r="O1148">
            <v>0</v>
          </cell>
        </row>
        <row r="1149">
          <cell r="D1149" t="str">
            <v>Pvc Socket-3/4"</v>
          </cell>
          <cell r="O1149">
            <v>0</v>
          </cell>
        </row>
        <row r="1150">
          <cell r="D1150" t="str">
            <v>Pvc Tee-01"</v>
          </cell>
          <cell r="O1150">
            <v>0</v>
          </cell>
        </row>
        <row r="1151">
          <cell r="D1151" t="str">
            <v>Pvc Tee-04"</v>
          </cell>
          <cell r="O1151">
            <v>0</v>
          </cell>
        </row>
        <row r="1152">
          <cell r="D1152" t="str">
            <v>Pvc Tee-3/4"</v>
          </cell>
          <cell r="O1152">
            <v>0</v>
          </cell>
        </row>
        <row r="1153">
          <cell r="D1153" t="str">
            <v>Pvc U Bean-1"</v>
          </cell>
          <cell r="O1153">
            <v>0</v>
          </cell>
        </row>
        <row r="1154">
          <cell r="D1154" t="str">
            <v>Pvc U-Bean-1/2"</v>
          </cell>
          <cell r="O1154">
            <v>0</v>
          </cell>
        </row>
        <row r="1155">
          <cell r="D1155" t="str">
            <v>Pvc U-Bean-3/4"</v>
          </cell>
          <cell r="O1155">
            <v>0</v>
          </cell>
        </row>
        <row r="1156">
          <cell r="D1156" t="str">
            <v>Re cone M/C Belt 108xL</v>
          </cell>
          <cell r="O1156">
            <v>1</v>
          </cell>
        </row>
        <row r="1157">
          <cell r="D1157" t="str">
            <v>Re cone M/C Belt 94xL</v>
          </cell>
          <cell r="O1157">
            <v>0</v>
          </cell>
        </row>
        <row r="1158">
          <cell r="D1158" t="str">
            <v>Re cone M/C V- Belt-16mm</v>
          </cell>
          <cell r="O1158">
            <v>0</v>
          </cell>
        </row>
        <row r="1159">
          <cell r="D1159" t="str">
            <v>Rechargebale Drill M/C -12V</v>
          </cell>
          <cell r="O1159">
            <v>0</v>
          </cell>
        </row>
        <row r="1160">
          <cell r="D1160" t="str">
            <v>Repit Gun Machine</v>
          </cell>
          <cell r="O1160">
            <v>0</v>
          </cell>
        </row>
        <row r="1161">
          <cell r="D1161" t="str">
            <v>Royal Bolt SS-08mm</v>
          </cell>
          <cell r="O1161">
            <v>0</v>
          </cell>
        </row>
        <row r="1162">
          <cell r="D1162" t="str">
            <v>Royal Bolt SS-10mm</v>
          </cell>
          <cell r="O1162">
            <v>0</v>
          </cell>
        </row>
        <row r="1163">
          <cell r="D1163" t="str">
            <v>Royal Bolt SS-12mm</v>
          </cell>
          <cell r="O1163">
            <v>0</v>
          </cell>
        </row>
        <row r="1164">
          <cell r="D1164" t="str">
            <v>Royal Plug-10mm</v>
          </cell>
          <cell r="O1164">
            <v>2</v>
          </cell>
        </row>
        <row r="1165">
          <cell r="D1165" t="str">
            <v>Royal Plug-12mm</v>
          </cell>
          <cell r="O1165">
            <v>0</v>
          </cell>
        </row>
        <row r="1166">
          <cell r="D1166" t="str">
            <v>SDB Board/Consumer Box-06 Gang</v>
          </cell>
          <cell r="O1166">
            <v>0</v>
          </cell>
        </row>
        <row r="1167">
          <cell r="D1167" t="str">
            <v>SDB Board/Consumer Box-12 Way</v>
          </cell>
          <cell r="O1167">
            <v>1</v>
          </cell>
        </row>
        <row r="1168">
          <cell r="D1168" t="str">
            <v>SDB Board/Consumer Box-16 Way</v>
          </cell>
          <cell r="O1168">
            <v>0</v>
          </cell>
        </row>
        <row r="1169">
          <cell r="D1169" t="str">
            <v>Seam Sealing Machine Coil</v>
          </cell>
          <cell r="O1169">
            <v>0</v>
          </cell>
        </row>
        <row r="1170">
          <cell r="D1170" t="str">
            <v>Sewing M/C Led Light ON/OFF Switch</v>
          </cell>
          <cell r="O1170">
            <v>8</v>
          </cell>
        </row>
        <row r="1171">
          <cell r="D1171" t="str">
            <v>Sewing Machine Led Light</v>
          </cell>
          <cell r="O1171">
            <v>10</v>
          </cell>
        </row>
        <row r="1172">
          <cell r="D1172" t="str">
            <v>Sewing Machine Motor Capacitor 18MF</v>
          </cell>
          <cell r="O1172">
            <v>0</v>
          </cell>
        </row>
        <row r="1173">
          <cell r="D1173" t="str">
            <v>Silicon For Glass Gum</v>
          </cell>
          <cell r="O1173">
            <v>0</v>
          </cell>
        </row>
        <row r="1174">
          <cell r="D1174" t="str">
            <v>Silicon For MDB Board</v>
          </cell>
          <cell r="O1174">
            <v>0</v>
          </cell>
        </row>
        <row r="1175">
          <cell r="D1175" t="str">
            <v>Smart Led Light-60 Watt</v>
          </cell>
          <cell r="O1175">
            <v>0</v>
          </cell>
        </row>
        <row r="1176">
          <cell r="D1176" t="str">
            <v>Soldering Iron Heater-200 Watt</v>
          </cell>
          <cell r="O1176">
            <v>0</v>
          </cell>
        </row>
        <row r="1177">
          <cell r="D1177" t="str">
            <v>Soldering Iron Heater-300 Watt</v>
          </cell>
          <cell r="O1177">
            <v>0</v>
          </cell>
        </row>
        <row r="1178">
          <cell r="D1178" t="str">
            <v>Soldering Iron Lead</v>
          </cell>
          <cell r="O1178">
            <v>0</v>
          </cell>
        </row>
        <row r="1179">
          <cell r="D1179" t="str">
            <v xml:space="preserve">Soldering Iron Stand </v>
          </cell>
          <cell r="O1179">
            <v>0</v>
          </cell>
        </row>
        <row r="1180">
          <cell r="D1180" t="str">
            <v>Soldering Iron-300 Watt</v>
          </cell>
          <cell r="O1180">
            <v>0</v>
          </cell>
        </row>
        <row r="1181">
          <cell r="D1181" t="str">
            <v>Soldering Iron-60 Watt</v>
          </cell>
          <cell r="O1181">
            <v>0</v>
          </cell>
        </row>
        <row r="1182">
          <cell r="D1182" t="str">
            <v>Solusan Gum( Daco)</v>
          </cell>
          <cell r="O1182">
            <v>0</v>
          </cell>
        </row>
        <row r="1183">
          <cell r="D1183" t="str">
            <v>Solvent Cement-500g</v>
          </cell>
          <cell r="O1183">
            <v>0</v>
          </cell>
        </row>
        <row r="1184">
          <cell r="D1184" t="str">
            <v>SS Chain for Hanging Light</v>
          </cell>
          <cell r="O1184">
            <v>0</v>
          </cell>
        </row>
        <row r="1185">
          <cell r="D1185" t="str">
            <v>SS Clamp-3/4"</v>
          </cell>
          <cell r="O1185">
            <v>0</v>
          </cell>
        </row>
        <row r="1186">
          <cell r="D1186" t="str">
            <v>SS Nut Bolt 12mm</v>
          </cell>
          <cell r="O1186">
            <v>0</v>
          </cell>
        </row>
        <row r="1187">
          <cell r="D1187" t="str">
            <v>SS Nut Bolt 14mm</v>
          </cell>
          <cell r="O1187">
            <v>0</v>
          </cell>
        </row>
        <row r="1188">
          <cell r="D1188" t="str">
            <v>SS Nut Bolt 5mm</v>
          </cell>
          <cell r="O1188">
            <v>0</v>
          </cell>
        </row>
        <row r="1189">
          <cell r="D1189" t="str">
            <v>SS Nut Bolt- 6x1.5"</v>
          </cell>
          <cell r="O1189">
            <v>0</v>
          </cell>
        </row>
        <row r="1190">
          <cell r="D1190" t="str">
            <v>SS Nut Bolt- 6x30 mm</v>
          </cell>
          <cell r="O1190">
            <v>0</v>
          </cell>
        </row>
        <row r="1191">
          <cell r="D1191" t="str">
            <v>SS Nut Bolt- 8x2"</v>
          </cell>
          <cell r="O1191">
            <v>0</v>
          </cell>
        </row>
        <row r="1192">
          <cell r="D1192" t="str">
            <v>Star Screw 1.5"</v>
          </cell>
          <cell r="O1192">
            <v>0</v>
          </cell>
        </row>
        <row r="1193">
          <cell r="D1193" t="str">
            <v>Star Screw-0.5"</v>
          </cell>
          <cell r="O1193">
            <v>0</v>
          </cell>
        </row>
        <row r="1194">
          <cell r="D1194" t="str">
            <v>Star Screw-01"</v>
          </cell>
          <cell r="O1194">
            <v>1000</v>
          </cell>
        </row>
        <row r="1195">
          <cell r="D1195" t="str">
            <v>Star Screw-02"</v>
          </cell>
          <cell r="O1195">
            <v>0</v>
          </cell>
        </row>
        <row r="1196">
          <cell r="D1196" t="str">
            <v>Steam Gate Valve-1"</v>
          </cell>
          <cell r="O1196">
            <v>0</v>
          </cell>
        </row>
        <row r="1197">
          <cell r="D1197" t="str">
            <v>Steam Gate Valve-1.5"</v>
          </cell>
          <cell r="O1197">
            <v>0</v>
          </cell>
        </row>
        <row r="1198">
          <cell r="D1198" t="str">
            <v>Steam Iron</v>
          </cell>
          <cell r="O1198">
            <v>0</v>
          </cell>
        </row>
        <row r="1199">
          <cell r="D1199" t="str">
            <v>Steam Iron Hose Pipe</v>
          </cell>
          <cell r="O1199">
            <v>0</v>
          </cell>
        </row>
        <row r="1200">
          <cell r="D1200" t="str">
            <v>Steam Iron Hose Pipe Safety Cover</v>
          </cell>
          <cell r="O1200">
            <v>0</v>
          </cell>
        </row>
        <row r="1201">
          <cell r="D1201" t="str">
            <v>Steam Iron Nozel</v>
          </cell>
          <cell r="O1201">
            <v>0</v>
          </cell>
        </row>
        <row r="1202">
          <cell r="D1202" t="str">
            <v>Steam Iron Regulator</v>
          </cell>
          <cell r="O1202">
            <v>0</v>
          </cell>
        </row>
        <row r="1203">
          <cell r="D1203" t="str">
            <v>Steam Iron Safety Plate</v>
          </cell>
          <cell r="O1203">
            <v>0</v>
          </cell>
        </row>
        <row r="1204">
          <cell r="D1204" t="str">
            <v>Steam Iron Shoe-ASL620</v>
          </cell>
          <cell r="O1204">
            <v>3</v>
          </cell>
        </row>
        <row r="1205">
          <cell r="D1205" t="str">
            <v>Steam Iron Shoe-BS6PC</v>
          </cell>
          <cell r="O1205">
            <v>20</v>
          </cell>
        </row>
        <row r="1206">
          <cell r="D1206" t="str">
            <v>Steam Nipple SS 1/2"-1/4</v>
          </cell>
          <cell r="O1206">
            <v>0</v>
          </cell>
        </row>
        <row r="1207">
          <cell r="D1207" t="str">
            <v>Steam Trap -1"</v>
          </cell>
          <cell r="O1207">
            <v>0</v>
          </cell>
        </row>
        <row r="1208">
          <cell r="D1208" t="str">
            <v>Steel Saddles-01"</v>
          </cell>
          <cell r="O1208">
            <v>0</v>
          </cell>
        </row>
        <row r="1209">
          <cell r="D1209" t="str">
            <v>Steel Saddles-02"</v>
          </cell>
          <cell r="O1209">
            <v>0</v>
          </cell>
        </row>
        <row r="1210">
          <cell r="D1210" t="str">
            <v>Steel Saddles-1.5"</v>
          </cell>
          <cell r="O1210">
            <v>0</v>
          </cell>
        </row>
        <row r="1211">
          <cell r="D1211" t="str">
            <v>Steel Saddles-1/2"</v>
          </cell>
          <cell r="O1211">
            <v>0</v>
          </cell>
        </row>
        <row r="1212">
          <cell r="D1212" t="str">
            <v>Steel Saddles-3/4"</v>
          </cell>
          <cell r="O1212">
            <v>0</v>
          </cell>
        </row>
        <row r="1213">
          <cell r="D1213" t="str">
            <v>Stop Watch</v>
          </cell>
          <cell r="O1213">
            <v>0</v>
          </cell>
        </row>
        <row r="1214">
          <cell r="D1214" t="str">
            <v>T8 LED Lamp Feting Light</v>
          </cell>
          <cell r="O1214">
            <v>0</v>
          </cell>
        </row>
        <row r="1215">
          <cell r="D1215" t="str">
            <v>T8 LED Lamp Fetting Light Duble Shade</v>
          </cell>
          <cell r="O1215">
            <v>0</v>
          </cell>
        </row>
        <row r="1216">
          <cell r="D1216" t="str">
            <v>T8 LED Lamp Fetting Light Shade</v>
          </cell>
          <cell r="O1216">
            <v>0</v>
          </cell>
        </row>
        <row r="1217">
          <cell r="D1217" t="str">
            <v>Tap Off Plug L-1</v>
          </cell>
          <cell r="O1217">
            <v>10</v>
          </cell>
        </row>
        <row r="1218">
          <cell r="D1218" t="str">
            <v>Tap Off Plug L-2</v>
          </cell>
          <cell r="O1218">
            <v>0</v>
          </cell>
        </row>
        <row r="1219">
          <cell r="D1219" t="str">
            <v>Tap Off Plug L-3</v>
          </cell>
          <cell r="O1219">
            <v>0</v>
          </cell>
        </row>
        <row r="1220">
          <cell r="D1220" t="str">
            <v>Temperature Meter</v>
          </cell>
          <cell r="O1220">
            <v>0</v>
          </cell>
        </row>
        <row r="1221">
          <cell r="D1221" t="str">
            <v>Thinner Gun M/C Spring</v>
          </cell>
          <cell r="O1221">
            <v>0</v>
          </cell>
        </row>
        <row r="1222">
          <cell r="D1222" t="str">
            <v>Thread Pipe-1.25"</v>
          </cell>
          <cell r="O1222">
            <v>0</v>
          </cell>
        </row>
        <row r="1223">
          <cell r="D1223" t="str">
            <v>Thread Tape</v>
          </cell>
          <cell r="O1223">
            <v>0</v>
          </cell>
        </row>
        <row r="1224">
          <cell r="D1224" t="str">
            <v>Timer Set</v>
          </cell>
          <cell r="O1224">
            <v>0</v>
          </cell>
        </row>
        <row r="1225">
          <cell r="D1225" t="str">
            <v>Tube Light Blast -36Watt</v>
          </cell>
          <cell r="O1225">
            <v>0</v>
          </cell>
        </row>
        <row r="1226">
          <cell r="D1226" t="str">
            <v>Tube Light Fitting Clip</v>
          </cell>
          <cell r="O1226">
            <v>0</v>
          </cell>
        </row>
        <row r="1227">
          <cell r="D1227" t="str">
            <v>Tube Light Holder</v>
          </cell>
          <cell r="O1227">
            <v>0</v>
          </cell>
        </row>
        <row r="1228">
          <cell r="D1228" t="str">
            <v>U Pvc Pipe -1.5"</v>
          </cell>
          <cell r="O1228">
            <v>0</v>
          </cell>
        </row>
        <row r="1229">
          <cell r="D1229" t="str">
            <v>U Pvc Tee -1.5"</v>
          </cell>
          <cell r="O1229">
            <v>0</v>
          </cell>
        </row>
        <row r="1230">
          <cell r="D1230" t="str">
            <v>Up Right Pendent K-5.6 Tmp</v>
          </cell>
          <cell r="O1230">
            <v>0</v>
          </cell>
        </row>
        <row r="1231">
          <cell r="D1231" t="str">
            <v>Up Right Sprinkler K-5.6 Tmp</v>
          </cell>
          <cell r="O1231">
            <v>0</v>
          </cell>
        </row>
        <row r="1232">
          <cell r="D1232" t="str">
            <v>V -Belt- 32</v>
          </cell>
          <cell r="O1232">
            <v>0</v>
          </cell>
        </row>
        <row r="1233">
          <cell r="D1233" t="str">
            <v>V -Belt- 34</v>
          </cell>
          <cell r="O1233">
            <v>0</v>
          </cell>
        </row>
        <row r="1234">
          <cell r="D1234" t="str">
            <v>V -Belt- 36</v>
          </cell>
          <cell r="O1234">
            <v>0</v>
          </cell>
        </row>
        <row r="1235">
          <cell r="D1235" t="str">
            <v>V -Belt- 38</v>
          </cell>
          <cell r="O1235">
            <v>0</v>
          </cell>
        </row>
        <row r="1236">
          <cell r="D1236" t="str">
            <v>V -Belt- 40</v>
          </cell>
          <cell r="O1236">
            <v>0</v>
          </cell>
        </row>
        <row r="1237">
          <cell r="D1237" t="str">
            <v>V-Belt-15"</v>
          </cell>
          <cell r="O1237">
            <v>0</v>
          </cell>
        </row>
        <row r="1238">
          <cell r="D1238" t="str">
            <v>Volume Switch</v>
          </cell>
          <cell r="O1238">
            <v>0</v>
          </cell>
        </row>
        <row r="1239">
          <cell r="D1239" t="str">
            <v>Wall Fan-16"</v>
          </cell>
          <cell r="O1239">
            <v>0</v>
          </cell>
        </row>
        <row r="1240">
          <cell r="D1240" t="str">
            <v>Wall Fan-18"</v>
          </cell>
          <cell r="O1240">
            <v>0</v>
          </cell>
        </row>
        <row r="1241">
          <cell r="D1241" t="str">
            <v>Weight Scale Battary</v>
          </cell>
          <cell r="O1241">
            <v>0</v>
          </cell>
        </row>
        <row r="1242">
          <cell r="D1242" t="str">
            <v>Welding Rod</v>
          </cell>
          <cell r="O1242">
            <v>0</v>
          </cell>
        </row>
        <row r="1243">
          <cell r="D1243" t="str">
            <v xml:space="preserve">Wire Gase Meter </v>
          </cell>
          <cell r="O1243">
            <v>0</v>
          </cell>
        </row>
        <row r="1244">
          <cell r="D1244" t="str">
            <v>Wiring Cable-1x1.5 RM-Black</v>
          </cell>
          <cell r="O1244">
            <v>0</v>
          </cell>
        </row>
        <row r="1245">
          <cell r="D1245" t="str">
            <v>Wiring Cable-1x1.5 RM-Red</v>
          </cell>
          <cell r="O1245">
            <v>0</v>
          </cell>
        </row>
        <row r="1246">
          <cell r="D1246" t="str">
            <v>Wiring Cable-1x1.5 RM-Yellow</v>
          </cell>
          <cell r="O1246">
            <v>0</v>
          </cell>
        </row>
        <row r="1247">
          <cell r="D1247" t="str">
            <v>Wiring Cable-1x10 RM-Green</v>
          </cell>
          <cell r="O1247">
            <v>0</v>
          </cell>
        </row>
        <row r="1248">
          <cell r="D1248" t="str">
            <v>Wiring Cable-1x16 RM-Green</v>
          </cell>
          <cell r="O1248">
            <v>0</v>
          </cell>
        </row>
        <row r="1249">
          <cell r="D1249" t="str">
            <v>Wiring Cable-1x2.5 RM-Black</v>
          </cell>
          <cell r="O1249">
            <v>0</v>
          </cell>
        </row>
        <row r="1250">
          <cell r="D1250" t="str">
            <v>Wiring Cable-1x2.5 RM-Green</v>
          </cell>
          <cell r="O1250">
            <v>0</v>
          </cell>
        </row>
        <row r="1251">
          <cell r="D1251" t="str">
            <v>Wiring Cable-1x2.5 RM-Red</v>
          </cell>
          <cell r="O1251">
            <v>0</v>
          </cell>
        </row>
        <row r="1252">
          <cell r="D1252" t="str">
            <v>Wiring Cable-1x2.5 RM-Yellow</v>
          </cell>
          <cell r="O1252">
            <v>0</v>
          </cell>
        </row>
        <row r="1253">
          <cell r="D1253" t="str">
            <v>Wiring Cable-1x4 RM-Black</v>
          </cell>
          <cell r="O1253">
            <v>0</v>
          </cell>
        </row>
        <row r="1254">
          <cell r="D1254" t="str">
            <v>Wiring Cable-1x4 RM-Green</v>
          </cell>
          <cell r="O1254">
            <v>0</v>
          </cell>
        </row>
        <row r="1255">
          <cell r="D1255" t="str">
            <v>Wiring Cable-1x4 RM-Red</v>
          </cell>
          <cell r="O1255">
            <v>0</v>
          </cell>
        </row>
        <row r="1256">
          <cell r="D1256" t="str">
            <v>Wiring Cable-2x10 RM-Black</v>
          </cell>
          <cell r="O1256">
            <v>0</v>
          </cell>
        </row>
        <row r="1257">
          <cell r="D1257" t="str">
            <v>Wiring Cable-2x2.5 RM-Grey</v>
          </cell>
          <cell r="O1257">
            <v>0</v>
          </cell>
        </row>
        <row r="1258">
          <cell r="D1258" t="str">
            <v>Wiring Cable-3x4 RM-Grey</v>
          </cell>
          <cell r="O1258">
            <v>0</v>
          </cell>
        </row>
        <row r="1259">
          <cell r="D1259" t="str">
            <v>Wiring Cable-4x4 RM-Grey</v>
          </cell>
          <cell r="O1259">
            <v>0</v>
          </cell>
        </row>
        <row r="1260">
          <cell r="D1260" t="str">
            <v>Y-Stnainer-1"</v>
          </cell>
          <cell r="O1260">
            <v>0</v>
          </cell>
        </row>
        <row r="1261">
          <cell r="D1261" t="str">
            <v xml:space="preserve"> Critical Binding Folder-30mm-7mm</v>
          </cell>
          <cell r="O1261">
            <v>0</v>
          </cell>
        </row>
        <row r="1262">
          <cell r="D1262" t="str">
            <v xml:space="preserve"> Critical Binding Folder-32mm-8mm</v>
          </cell>
          <cell r="O1262">
            <v>0</v>
          </cell>
        </row>
        <row r="1263">
          <cell r="D1263" t="str">
            <v xml:space="preserve"> GA Tar-22 No</v>
          </cell>
          <cell r="O1263">
            <v>0</v>
          </cell>
        </row>
        <row r="1264">
          <cell r="D1264" t="str">
            <v xml:space="preserve"> GA Tar-26 No</v>
          </cell>
          <cell r="O1264">
            <v>0</v>
          </cell>
        </row>
        <row r="1265">
          <cell r="D1265" t="str">
            <v xml:space="preserve"> Metal Feet Dog(Japan)</v>
          </cell>
          <cell r="O1265">
            <v>0</v>
          </cell>
        </row>
        <row r="1266">
          <cell r="D1266" t="str">
            <v>3-Needle Chain Stitch Machine Lopper</v>
          </cell>
          <cell r="O1266">
            <v>0</v>
          </cell>
        </row>
        <row r="1267">
          <cell r="D1267" t="str">
            <v>A.P.W Center Knife</v>
          </cell>
          <cell r="O1267">
            <v>0</v>
          </cell>
        </row>
        <row r="1268">
          <cell r="D1268" t="str">
            <v>A.P.W Gauge Set-16mm</v>
          </cell>
          <cell r="O1268">
            <v>0</v>
          </cell>
        </row>
        <row r="1269">
          <cell r="D1269" t="str">
            <v>Allenkey Nut Bolt-1.5"</v>
          </cell>
          <cell r="O1269">
            <v>0</v>
          </cell>
        </row>
        <row r="1270">
          <cell r="D1270" t="str">
            <v>APW Corner Knife -40</v>
          </cell>
          <cell r="O1270">
            <v>0</v>
          </cell>
        </row>
        <row r="1271">
          <cell r="D1271" t="str">
            <v>APW Corner Knife -50</v>
          </cell>
          <cell r="O1271">
            <v>0</v>
          </cell>
        </row>
        <row r="1272">
          <cell r="D1272" t="str">
            <v>APW Corner Knife -60</v>
          </cell>
          <cell r="O1272">
            <v>0</v>
          </cell>
        </row>
        <row r="1273">
          <cell r="D1273" t="str">
            <v>APW Corner Knife -70</v>
          </cell>
          <cell r="O1273">
            <v>0</v>
          </cell>
        </row>
        <row r="1274">
          <cell r="D1274" t="str">
            <v>B/H Machine Knife-1/2</v>
          </cell>
          <cell r="O1274">
            <v>0</v>
          </cell>
        </row>
        <row r="1275">
          <cell r="D1275" t="str">
            <v>B/H Machine Knife-1/4</v>
          </cell>
          <cell r="O1275">
            <v>2</v>
          </cell>
        </row>
        <row r="1276">
          <cell r="D1276" t="str">
            <v>B/H Machine Knife-3/4</v>
          </cell>
          <cell r="O1276">
            <v>0</v>
          </cell>
        </row>
        <row r="1277">
          <cell r="D1277" t="str">
            <v>B/H Machine Knife-3/8</v>
          </cell>
          <cell r="O1277">
            <v>0</v>
          </cell>
        </row>
        <row r="1278">
          <cell r="D1278" t="str">
            <v>B/H Machine Knife-5/8</v>
          </cell>
          <cell r="O1278">
            <v>0</v>
          </cell>
        </row>
        <row r="1279">
          <cell r="D1279" t="str">
            <v>B/H Rotary Hook</v>
          </cell>
          <cell r="O1279">
            <v>0</v>
          </cell>
        </row>
        <row r="1280">
          <cell r="D1280" t="str">
            <v>B/H upper Scissors</v>
          </cell>
          <cell r="O1280">
            <v>0</v>
          </cell>
        </row>
        <row r="1281">
          <cell r="D1281" t="str">
            <v>B/S Machine Button Attachment Set</v>
          </cell>
          <cell r="O1281">
            <v>0</v>
          </cell>
        </row>
        <row r="1282">
          <cell r="D1282" t="str">
            <v>B/S Machine Button Kaser Set</v>
          </cell>
          <cell r="O1282">
            <v>0</v>
          </cell>
        </row>
        <row r="1283">
          <cell r="D1283" t="str">
            <v>B/S Needle Hole Plate-Heavy-2.5mm</v>
          </cell>
          <cell r="O1283">
            <v>0</v>
          </cell>
        </row>
        <row r="1284">
          <cell r="D1284" t="str">
            <v>B/S Sang Pin</v>
          </cell>
          <cell r="O1284">
            <v>0</v>
          </cell>
        </row>
        <row r="1285">
          <cell r="D1285" t="str">
            <v>B/T Eye Glass</v>
          </cell>
          <cell r="O1285">
            <v>18</v>
          </cell>
        </row>
        <row r="1286">
          <cell r="D1286" t="str">
            <v>B/T Feet Palet-20mm(Brother)</v>
          </cell>
          <cell r="O1286">
            <v>0</v>
          </cell>
        </row>
        <row r="1287">
          <cell r="D1287" t="str">
            <v>B/T Feet Palet-25mm(Brother)</v>
          </cell>
          <cell r="O1287">
            <v>0</v>
          </cell>
        </row>
        <row r="1288">
          <cell r="D1288" t="str">
            <v>B/T Feet Palet-28mm(Juki)</v>
          </cell>
          <cell r="O1288">
            <v>0</v>
          </cell>
        </row>
        <row r="1289">
          <cell r="D1289" t="str">
            <v>B/T Feet Palet-30mm(Juki)</v>
          </cell>
          <cell r="O1289">
            <v>0</v>
          </cell>
        </row>
        <row r="1290">
          <cell r="D1290" t="str">
            <v>B/T Feet Palet-35mm(Brother)</v>
          </cell>
          <cell r="O1290">
            <v>0</v>
          </cell>
        </row>
        <row r="1291">
          <cell r="D1291" t="str">
            <v>B/T Feet Palet-35mm(Juki)</v>
          </cell>
          <cell r="O1291">
            <v>0</v>
          </cell>
        </row>
        <row r="1292">
          <cell r="D1292" t="str">
            <v>B/T Machine Additional Set(Big)</v>
          </cell>
          <cell r="O1292">
            <v>0</v>
          </cell>
        </row>
        <row r="1293">
          <cell r="D1293" t="str">
            <v>B/T Machine Additional Set(Small)</v>
          </cell>
          <cell r="O1293">
            <v>0</v>
          </cell>
        </row>
        <row r="1294">
          <cell r="D1294" t="str">
            <v>B/T Machine Ring-Brother</v>
          </cell>
          <cell r="O1294">
            <v>0</v>
          </cell>
        </row>
        <row r="1295">
          <cell r="D1295" t="str">
            <v>B/T Machine Ring-Juki</v>
          </cell>
          <cell r="O1295">
            <v>0</v>
          </cell>
        </row>
        <row r="1296">
          <cell r="D1296" t="str">
            <v>B/T Machine Sattel-Brother</v>
          </cell>
          <cell r="O1296">
            <v>0</v>
          </cell>
        </row>
        <row r="1297">
          <cell r="D1297" t="str">
            <v>B/T Machine Sattel-Juki</v>
          </cell>
          <cell r="O1297">
            <v>0</v>
          </cell>
        </row>
        <row r="1298">
          <cell r="D1298" t="str">
            <v>B/T Needle Bar</v>
          </cell>
          <cell r="O1298">
            <v>0</v>
          </cell>
        </row>
        <row r="1299">
          <cell r="D1299" t="str">
            <v>B/T Needle Hole Plate-2.3mm</v>
          </cell>
          <cell r="O1299">
            <v>0</v>
          </cell>
        </row>
        <row r="1300">
          <cell r="D1300" t="str">
            <v>B/T Needle Hole Plate-2.3mm-Brother</v>
          </cell>
          <cell r="O1300">
            <v>0</v>
          </cell>
        </row>
        <row r="1301">
          <cell r="D1301" t="str">
            <v>B/T Needle Hole Plate-2.3mm-Juki</v>
          </cell>
          <cell r="O1301">
            <v>1</v>
          </cell>
        </row>
        <row r="1302">
          <cell r="D1302" t="str">
            <v>B/T Needle Hole Plate-2.5mm</v>
          </cell>
          <cell r="O1302">
            <v>0</v>
          </cell>
        </row>
        <row r="1303">
          <cell r="D1303" t="str">
            <v>B/T Needle Hole Plate-2.5mm-Brother</v>
          </cell>
          <cell r="O1303">
            <v>0</v>
          </cell>
        </row>
        <row r="1304">
          <cell r="D1304" t="str">
            <v>B/T Needle Hole Plate-2.5mm-Juki</v>
          </cell>
          <cell r="O1304">
            <v>0</v>
          </cell>
        </row>
        <row r="1305">
          <cell r="D1305" t="str">
            <v>B/T Needle Hole Plate-2.8mm</v>
          </cell>
          <cell r="O1305">
            <v>0</v>
          </cell>
        </row>
        <row r="1306">
          <cell r="D1306" t="str">
            <v>B/T Needle Hole Plate-2mm</v>
          </cell>
          <cell r="O1306">
            <v>0</v>
          </cell>
        </row>
        <row r="1307">
          <cell r="D1307" t="str">
            <v>B/T Needle Hole Plate-3.2mm</v>
          </cell>
          <cell r="O1307">
            <v>0</v>
          </cell>
        </row>
        <row r="1308">
          <cell r="D1308" t="str">
            <v>B/T Needle Hole Plate-3.2mm-Brother</v>
          </cell>
          <cell r="O1308">
            <v>0</v>
          </cell>
        </row>
        <row r="1309">
          <cell r="D1309" t="str">
            <v>B/T Needle Hole Plate-3.2mm-Juki</v>
          </cell>
          <cell r="O1309">
            <v>0</v>
          </cell>
        </row>
        <row r="1310">
          <cell r="D1310" t="str">
            <v>B/T Palet+Pressure Feet-22mm(Juki)</v>
          </cell>
          <cell r="O1310">
            <v>0</v>
          </cell>
        </row>
        <row r="1311">
          <cell r="D1311" t="str">
            <v>B/T Pressure Feet-15mm</v>
          </cell>
          <cell r="O1311">
            <v>0</v>
          </cell>
        </row>
        <row r="1312">
          <cell r="D1312" t="str">
            <v>B/T Pressure Feet-20mm</v>
          </cell>
          <cell r="O1312">
            <v>0</v>
          </cell>
        </row>
        <row r="1313">
          <cell r="D1313" t="str">
            <v>B/T Pressure Feet-24mm</v>
          </cell>
          <cell r="O1313">
            <v>0</v>
          </cell>
        </row>
        <row r="1314">
          <cell r="D1314" t="str">
            <v>B/T Pressure Feet-25mm</v>
          </cell>
          <cell r="O1314">
            <v>0</v>
          </cell>
        </row>
        <row r="1315">
          <cell r="D1315" t="str">
            <v>B/T Pressure Feet-30mm</v>
          </cell>
          <cell r="O1315">
            <v>0</v>
          </cell>
        </row>
        <row r="1316">
          <cell r="D1316" t="str">
            <v>B/T Pressure Feet-35mm</v>
          </cell>
          <cell r="O1316">
            <v>0</v>
          </cell>
        </row>
        <row r="1317">
          <cell r="D1317" t="str">
            <v>B/T Round Presser Feet/Plate (Brother)</v>
          </cell>
          <cell r="O1317">
            <v>0</v>
          </cell>
        </row>
        <row r="1318">
          <cell r="D1318" t="str">
            <v>B/T Round Presser Feet/Plate (juki)</v>
          </cell>
          <cell r="O1318">
            <v>0</v>
          </cell>
        </row>
        <row r="1319">
          <cell r="D1319" t="str">
            <v>B/T Saddle Hook</v>
          </cell>
          <cell r="O1319">
            <v>0</v>
          </cell>
        </row>
        <row r="1320">
          <cell r="D1320" t="str">
            <v>Band Knife Machine Belt</v>
          </cell>
          <cell r="O1320">
            <v>1</v>
          </cell>
        </row>
        <row r="1321">
          <cell r="D1321" t="str">
            <v>Band Knife Machine Grinding Stone</v>
          </cell>
          <cell r="O1321">
            <v>0</v>
          </cell>
        </row>
        <row r="1322">
          <cell r="D1322" t="str">
            <v>Battery for Metal Detector M/C</v>
          </cell>
          <cell r="O1322">
            <v>2</v>
          </cell>
        </row>
        <row r="1323">
          <cell r="D1323" t="str">
            <v>Battleneck Board-10"x12"</v>
          </cell>
          <cell r="O1323">
            <v>0</v>
          </cell>
        </row>
        <row r="1324">
          <cell r="D1324" t="str">
            <v>Bedoly Machine Pressur Feet</v>
          </cell>
          <cell r="O1324">
            <v>0</v>
          </cell>
        </row>
        <row r="1325">
          <cell r="D1325" t="str">
            <v>C/M Cam Spring</v>
          </cell>
          <cell r="O1325">
            <v>1</v>
          </cell>
        </row>
        <row r="1326">
          <cell r="D1326" t="str">
            <v>C/M Croo Set</v>
          </cell>
          <cell r="O1326">
            <v>0</v>
          </cell>
        </row>
        <row r="1327">
          <cell r="D1327" t="str">
            <v>C/M Cutting Point Pully</v>
          </cell>
          <cell r="O1327">
            <v>0</v>
          </cell>
        </row>
        <row r="1328">
          <cell r="D1328" t="str">
            <v>C/M Cutting Point Pully Rubber</v>
          </cell>
          <cell r="O1328">
            <v>0</v>
          </cell>
        </row>
        <row r="1329">
          <cell r="D1329" t="str">
            <v>C/M Idle Gear with Bearing Set</v>
          </cell>
          <cell r="O1329">
            <v>0</v>
          </cell>
        </row>
        <row r="1330">
          <cell r="D1330" t="str">
            <v>C/M Pressure Feet</v>
          </cell>
          <cell r="O1330">
            <v>0</v>
          </cell>
        </row>
        <row r="1331">
          <cell r="D1331" t="str">
            <v>C/M Pressure Feet Bar</v>
          </cell>
          <cell r="O1331">
            <v>0</v>
          </cell>
        </row>
        <row r="1332">
          <cell r="D1332" t="str">
            <v>C/M Pressure Feet Lock</v>
          </cell>
          <cell r="O1332">
            <v>0</v>
          </cell>
        </row>
        <row r="1333">
          <cell r="D1333" t="str">
            <v>C/M Sharpner Shoe Spring</v>
          </cell>
          <cell r="O1333">
            <v>0</v>
          </cell>
        </row>
        <row r="1334">
          <cell r="D1334" t="str">
            <v>C/M-R Spring</v>
          </cell>
          <cell r="O1334">
            <v>0</v>
          </cell>
        </row>
        <row r="1335">
          <cell r="D1335" t="str">
            <v>C/S Folder Large- 1/4</v>
          </cell>
          <cell r="O1335">
            <v>0</v>
          </cell>
        </row>
        <row r="1336">
          <cell r="D1336" t="str">
            <v>C/S Folder Medium- 1/4</v>
          </cell>
          <cell r="O1336">
            <v>0</v>
          </cell>
        </row>
        <row r="1337">
          <cell r="D1337" t="str">
            <v>C/S Folder Small- 1/4</v>
          </cell>
          <cell r="O1337">
            <v>0</v>
          </cell>
        </row>
        <row r="1338">
          <cell r="D1338" t="str">
            <v>C/S Machine 3 Needle Metal Guide -1/4 CL</v>
          </cell>
          <cell r="O1338">
            <v>0</v>
          </cell>
        </row>
        <row r="1339">
          <cell r="D1339" t="str">
            <v>C/S Machine 3 Needle Metal Guide -1/4 CR</v>
          </cell>
          <cell r="O1339">
            <v>0</v>
          </cell>
        </row>
        <row r="1340">
          <cell r="D1340" t="str">
            <v>C/S Machine 3 Needle Metal Plain Feet 1/4</v>
          </cell>
          <cell r="O1340">
            <v>0</v>
          </cell>
        </row>
        <row r="1341">
          <cell r="D1341" t="str">
            <v>C/S Machine T/N Metal Guide -1/4 CL</v>
          </cell>
          <cell r="O1341">
            <v>0</v>
          </cell>
        </row>
        <row r="1342">
          <cell r="D1342" t="str">
            <v>C/S Machine T/N Metal Guide -1/4 CR</v>
          </cell>
          <cell r="O1342">
            <v>0</v>
          </cell>
        </row>
        <row r="1343">
          <cell r="D1343" t="str">
            <v>C/S Machine T/N Metal Plain Feet -1/4</v>
          </cell>
          <cell r="O1343">
            <v>0</v>
          </cell>
        </row>
        <row r="1344">
          <cell r="D1344" t="str">
            <v>Cobja Clamp-6"</v>
          </cell>
          <cell r="O1344">
            <v>0</v>
          </cell>
        </row>
        <row r="1345">
          <cell r="D1345" t="str">
            <v>Cobja Clamp-8"</v>
          </cell>
          <cell r="O1345">
            <v>0</v>
          </cell>
        </row>
        <row r="1346">
          <cell r="D1346" t="str">
            <v>Collar Finish Pattern</v>
          </cell>
          <cell r="O1346">
            <v>0</v>
          </cell>
        </row>
        <row r="1347">
          <cell r="D1347" t="str">
            <v>Combination Pliers-08"</v>
          </cell>
          <cell r="O1347">
            <v>1</v>
          </cell>
        </row>
        <row r="1348">
          <cell r="D1348" t="str">
            <v>Combination Spanner-07mm</v>
          </cell>
          <cell r="O1348">
            <v>0</v>
          </cell>
        </row>
        <row r="1349">
          <cell r="D1349" t="str">
            <v>Combination Spanner-08mm</v>
          </cell>
          <cell r="O1349">
            <v>0</v>
          </cell>
        </row>
        <row r="1350">
          <cell r="D1350" t="str">
            <v>Combination Spanner-09mm</v>
          </cell>
          <cell r="O1350">
            <v>0</v>
          </cell>
        </row>
        <row r="1351">
          <cell r="D1351" t="str">
            <v>Combination Spanner-10mm</v>
          </cell>
          <cell r="O1351">
            <v>0</v>
          </cell>
        </row>
        <row r="1352">
          <cell r="D1352" t="str">
            <v>Combination Spanner-11mm</v>
          </cell>
          <cell r="O1352">
            <v>0</v>
          </cell>
        </row>
        <row r="1353">
          <cell r="D1353" t="str">
            <v>Combination Spanner-14mm</v>
          </cell>
          <cell r="O1353">
            <v>0</v>
          </cell>
        </row>
        <row r="1354">
          <cell r="D1354" t="str">
            <v>Combination Spanner-20-22mm</v>
          </cell>
          <cell r="O1354">
            <v>0</v>
          </cell>
        </row>
        <row r="1355">
          <cell r="D1355" t="str">
            <v>Combination Spanner-6mm</v>
          </cell>
          <cell r="O1355">
            <v>0</v>
          </cell>
        </row>
        <row r="1356">
          <cell r="D1356" t="str">
            <v>Combination Spanner-8-9mm</v>
          </cell>
          <cell r="O1356">
            <v>0</v>
          </cell>
        </row>
        <row r="1357">
          <cell r="D1357" t="str">
            <v>Cutting Machine Base Palet</v>
          </cell>
          <cell r="O1357">
            <v>0</v>
          </cell>
        </row>
        <row r="1358">
          <cell r="D1358" t="str">
            <v>Cutting Machine Knife Screw</v>
          </cell>
          <cell r="O1358">
            <v>0</v>
          </cell>
        </row>
        <row r="1359">
          <cell r="D1359" t="str">
            <v>Cutting Machine Knife Silafer</v>
          </cell>
          <cell r="O1359">
            <v>0</v>
          </cell>
        </row>
        <row r="1360">
          <cell r="D1360" t="str">
            <v>Cutting Machine Rubber Driver Pulley</v>
          </cell>
          <cell r="O1360">
            <v>1</v>
          </cell>
        </row>
        <row r="1361">
          <cell r="D1361" t="str">
            <v>Cutting Plus-08"</v>
          </cell>
          <cell r="O1361">
            <v>1</v>
          </cell>
        </row>
        <row r="1362">
          <cell r="D1362" t="str">
            <v>Daimond File (Rat)</v>
          </cell>
          <cell r="O1362">
            <v>1</v>
          </cell>
        </row>
        <row r="1363">
          <cell r="D1363" t="str">
            <v>Digital Multimeter-CD800A</v>
          </cell>
          <cell r="O1363">
            <v>0</v>
          </cell>
        </row>
        <row r="1364">
          <cell r="D1364" t="str">
            <v>Distil Water</v>
          </cell>
          <cell r="O1364">
            <v>0</v>
          </cell>
        </row>
        <row r="1365">
          <cell r="D1365" t="str">
            <v>Drawsting Device (0.5mm)</v>
          </cell>
          <cell r="O1365">
            <v>0</v>
          </cell>
        </row>
        <row r="1366">
          <cell r="D1366" t="str">
            <v>Drowisting Bais Stan Ring</v>
          </cell>
          <cell r="O1366">
            <v>0</v>
          </cell>
        </row>
        <row r="1367">
          <cell r="D1367" t="str">
            <v>Drowisting Folder-30mm-15mm</v>
          </cell>
          <cell r="O1367">
            <v>1</v>
          </cell>
        </row>
        <row r="1368">
          <cell r="D1368" t="str">
            <v>Durable Wrench-7 Pieces</v>
          </cell>
          <cell r="O1368">
            <v>0</v>
          </cell>
        </row>
        <row r="1369">
          <cell r="D1369" t="str">
            <v>E/H Hammer-12mm(Juki)</v>
          </cell>
          <cell r="O1369">
            <v>0</v>
          </cell>
        </row>
        <row r="1370">
          <cell r="D1370" t="str">
            <v>E/H Hammer-14mm(Brother)</v>
          </cell>
          <cell r="O1370">
            <v>0</v>
          </cell>
        </row>
        <row r="1371">
          <cell r="D1371" t="str">
            <v>E/H Hammer-14mm(Juki)</v>
          </cell>
          <cell r="O1371">
            <v>0</v>
          </cell>
        </row>
        <row r="1372">
          <cell r="D1372" t="str">
            <v>E/H Hammer-16mm(Brother)</v>
          </cell>
          <cell r="O1372">
            <v>0</v>
          </cell>
        </row>
        <row r="1373">
          <cell r="D1373" t="str">
            <v>E/H Hammer-16mm(Juki)</v>
          </cell>
          <cell r="O1373">
            <v>0</v>
          </cell>
        </row>
        <row r="1374">
          <cell r="D1374" t="str">
            <v>E/H Hammer-18mm(Brother)</v>
          </cell>
          <cell r="O1374">
            <v>0</v>
          </cell>
        </row>
        <row r="1375">
          <cell r="D1375" t="str">
            <v>E/H Hammer-18mm(Juki)</v>
          </cell>
          <cell r="O1375">
            <v>0</v>
          </cell>
        </row>
        <row r="1376">
          <cell r="D1376" t="str">
            <v>E/H Hammer-20mm(Brother)</v>
          </cell>
          <cell r="O1376">
            <v>0</v>
          </cell>
        </row>
        <row r="1377">
          <cell r="D1377" t="str">
            <v>E/H Hammer-20mm(Juki)</v>
          </cell>
          <cell r="O1377">
            <v>0</v>
          </cell>
        </row>
        <row r="1378">
          <cell r="D1378" t="str">
            <v>E/H Hammer-22mm(Brother)</v>
          </cell>
          <cell r="O1378">
            <v>0</v>
          </cell>
        </row>
        <row r="1379">
          <cell r="D1379" t="str">
            <v>E/H Hammer-22mm(Juki)</v>
          </cell>
          <cell r="O1379">
            <v>0</v>
          </cell>
        </row>
        <row r="1380">
          <cell r="D1380" t="str">
            <v>E/H Hammer-24mm(Brother)</v>
          </cell>
          <cell r="O1380">
            <v>0</v>
          </cell>
        </row>
        <row r="1381">
          <cell r="D1381" t="str">
            <v>E/H Hammer-24mm(Juki)</v>
          </cell>
          <cell r="O1381">
            <v>0</v>
          </cell>
        </row>
        <row r="1382">
          <cell r="D1382" t="str">
            <v>E/H Hammer-26mm(Brother)</v>
          </cell>
          <cell r="O1382">
            <v>0</v>
          </cell>
        </row>
        <row r="1383">
          <cell r="D1383" t="str">
            <v>E/H Hammer-26mm(Juki)</v>
          </cell>
          <cell r="O1383">
            <v>0</v>
          </cell>
        </row>
        <row r="1384">
          <cell r="D1384" t="str">
            <v>E/H Hammer-28mm(Brother)</v>
          </cell>
          <cell r="O1384">
            <v>0</v>
          </cell>
        </row>
        <row r="1385">
          <cell r="D1385" t="str">
            <v>E/H Hammer-28mm(Juki)</v>
          </cell>
          <cell r="O1385">
            <v>0</v>
          </cell>
        </row>
        <row r="1386">
          <cell r="D1386" t="str">
            <v>E/H Thread Cutting Knife</v>
          </cell>
          <cell r="O1386">
            <v>0</v>
          </cell>
        </row>
        <row r="1387">
          <cell r="D1387" t="str">
            <v>End Cutter Machine Knife</v>
          </cell>
          <cell r="O1387">
            <v>0</v>
          </cell>
        </row>
        <row r="1388">
          <cell r="D1388" t="str">
            <v>End Cutter Machine Lower Knife</v>
          </cell>
          <cell r="O1388">
            <v>0</v>
          </cell>
        </row>
        <row r="1389">
          <cell r="D1389" t="str">
            <v>Eyelet Button Mould</v>
          </cell>
          <cell r="O1389">
            <v>1</v>
          </cell>
        </row>
        <row r="1390">
          <cell r="D1390" t="str">
            <v>F/A Machine Lopper Shape</v>
          </cell>
          <cell r="O1390">
            <v>0</v>
          </cell>
        </row>
        <row r="1391">
          <cell r="D1391" t="str">
            <v>F/L 4Folding Loop Folder-28mm-10mm</v>
          </cell>
          <cell r="O1391">
            <v>0</v>
          </cell>
        </row>
        <row r="1392">
          <cell r="D1392" t="str">
            <v>F/L Loop Folder-24mm-12mm</v>
          </cell>
          <cell r="O1392">
            <v>0</v>
          </cell>
        </row>
        <row r="1393">
          <cell r="D1393" t="str">
            <v>F/L Loop Folder-34mm-12mm</v>
          </cell>
          <cell r="O1393">
            <v>0</v>
          </cell>
        </row>
        <row r="1394">
          <cell r="D1394" t="str">
            <v>F/L Machine Needle Screw</v>
          </cell>
          <cell r="O1394">
            <v>0</v>
          </cell>
        </row>
        <row r="1395">
          <cell r="D1395" t="str">
            <v>F/L Machine Palet Screw</v>
          </cell>
          <cell r="O1395">
            <v>0</v>
          </cell>
        </row>
        <row r="1396">
          <cell r="D1396" t="str">
            <v>F/L Machine Pressure Feet</v>
          </cell>
          <cell r="O1396">
            <v>0</v>
          </cell>
        </row>
        <row r="1397">
          <cell r="D1397" t="str">
            <v>F/L Machine Pressure Feet Nose</v>
          </cell>
          <cell r="O1397">
            <v>0</v>
          </cell>
        </row>
        <row r="1398">
          <cell r="D1398" t="str">
            <v>Feet Of The Arm Folder -1/4( Large)</v>
          </cell>
          <cell r="O1398">
            <v>0</v>
          </cell>
        </row>
        <row r="1399">
          <cell r="D1399" t="str">
            <v>Feet Of The Arm Folder -1/4( Medium)</v>
          </cell>
          <cell r="O1399">
            <v>0</v>
          </cell>
        </row>
        <row r="1400">
          <cell r="D1400" t="str">
            <v>Feet Of The Arm Folder -1/4( Small)</v>
          </cell>
          <cell r="O1400">
            <v>0</v>
          </cell>
        </row>
        <row r="1401">
          <cell r="D1401" t="str">
            <v>Fire Door Closers</v>
          </cell>
          <cell r="O1401">
            <v>0</v>
          </cell>
        </row>
        <row r="1402">
          <cell r="D1402" t="str">
            <v>Fire Door Trim Lock</v>
          </cell>
          <cell r="O1402">
            <v>0</v>
          </cell>
        </row>
        <row r="1403">
          <cell r="D1403" t="str">
            <v>Flat Driver -10"</v>
          </cell>
          <cell r="O1403">
            <v>0</v>
          </cell>
        </row>
        <row r="1404">
          <cell r="D1404" t="str">
            <v>Flat Screw Driver-12"</v>
          </cell>
          <cell r="O1404">
            <v>0</v>
          </cell>
        </row>
        <row r="1405">
          <cell r="D1405" t="str">
            <v>Flat Screw Driver-14"</v>
          </cell>
          <cell r="O1405">
            <v>0</v>
          </cell>
        </row>
        <row r="1406">
          <cell r="D1406" t="str">
            <v>Flat Screw Driver-16"</v>
          </cell>
          <cell r="O1406">
            <v>0</v>
          </cell>
        </row>
        <row r="1407">
          <cell r="D1407" t="str">
            <v>GA Tar-03mm</v>
          </cell>
          <cell r="O1407">
            <v>0</v>
          </cell>
        </row>
        <row r="1408">
          <cell r="D1408" t="str">
            <v>GA Tar-2.5mm</v>
          </cell>
          <cell r="O1408">
            <v>0</v>
          </cell>
        </row>
        <row r="1409">
          <cell r="D1409" t="str">
            <v>Gear Oil</v>
          </cell>
          <cell r="O1409">
            <v>0</v>
          </cell>
        </row>
        <row r="1410">
          <cell r="D1410" t="str">
            <v>Glass Wheel</v>
          </cell>
          <cell r="O1410">
            <v>0</v>
          </cell>
        </row>
        <row r="1411">
          <cell r="D1411" t="str">
            <v>Grease-500gm</v>
          </cell>
          <cell r="O1411">
            <v>0</v>
          </cell>
        </row>
        <row r="1412">
          <cell r="D1412" t="str">
            <v>Hanger Loop Folder-33mm-9mm</v>
          </cell>
          <cell r="O1412">
            <v>0</v>
          </cell>
        </row>
        <row r="1413">
          <cell r="D1413" t="str">
            <v>Hexo Blade</v>
          </cell>
          <cell r="O1413">
            <v>2</v>
          </cell>
        </row>
        <row r="1414">
          <cell r="D1414" t="str">
            <v>Hook Button Mould</v>
          </cell>
          <cell r="O1414">
            <v>0</v>
          </cell>
        </row>
        <row r="1415">
          <cell r="D1415" t="str">
            <v>Iron Folder-145mm-48/58mm</v>
          </cell>
          <cell r="O1415">
            <v>0</v>
          </cell>
        </row>
        <row r="1416">
          <cell r="D1416" t="str">
            <v>K/S machine 3-Stape Piping Folder</v>
          </cell>
          <cell r="O1416">
            <v>0</v>
          </cell>
        </row>
        <row r="1417">
          <cell r="D1417" t="str">
            <v>K/S Machine Gauge Set-17 Needle</v>
          </cell>
          <cell r="O1417">
            <v>1</v>
          </cell>
        </row>
        <row r="1418">
          <cell r="D1418" t="str">
            <v>K/S Machine Gauge Set-23 needle</v>
          </cell>
          <cell r="O1418">
            <v>0</v>
          </cell>
        </row>
        <row r="1419">
          <cell r="D1419" t="str">
            <v>K/S Machine Looper- Big</v>
          </cell>
          <cell r="O1419">
            <v>0</v>
          </cell>
        </row>
        <row r="1420">
          <cell r="D1420" t="str">
            <v>K/S Machine Looper- Medium</v>
          </cell>
          <cell r="O1420">
            <v>1</v>
          </cell>
        </row>
        <row r="1421">
          <cell r="D1421" t="str">
            <v>K/S Machine Looper- Small</v>
          </cell>
          <cell r="O1421">
            <v>0</v>
          </cell>
        </row>
        <row r="1422">
          <cell r="D1422" t="str">
            <v>K/S Machine Retainer</v>
          </cell>
          <cell r="O1422">
            <v>1</v>
          </cell>
        </row>
        <row r="1423">
          <cell r="D1423" t="str">
            <v>K/S Machine Roller Set(Small)</v>
          </cell>
          <cell r="O1423">
            <v>1</v>
          </cell>
        </row>
        <row r="1424">
          <cell r="D1424" t="str">
            <v>K/S Palet Screw</v>
          </cell>
          <cell r="O1424">
            <v>0</v>
          </cell>
        </row>
        <row r="1425">
          <cell r="D1425" t="str">
            <v>K/S Roller-Big</v>
          </cell>
          <cell r="O1425">
            <v>2</v>
          </cell>
        </row>
        <row r="1426">
          <cell r="D1426" t="str">
            <v>K/S Roller-Small</v>
          </cell>
          <cell r="O1426">
            <v>0</v>
          </cell>
        </row>
        <row r="1427">
          <cell r="D1427" t="str">
            <v>L Key Set</v>
          </cell>
          <cell r="O1427">
            <v>1</v>
          </cell>
        </row>
        <row r="1428">
          <cell r="D1428" t="str">
            <v>Loop Folder-24mm-10mm</v>
          </cell>
          <cell r="O1428">
            <v>0</v>
          </cell>
        </row>
        <row r="1429">
          <cell r="D1429" t="str">
            <v>Machine Numbering Board</v>
          </cell>
          <cell r="O1429">
            <v>0</v>
          </cell>
        </row>
        <row r="1430">
          <cell r="D1430" t="str">
            <v>Machine Numbering Ring</v>
          </cell>
          <cell r="O1430">
            <v>0</v>
          </cell>
        </row>
        <row r="1431">
          <cell r="D1431" t="str">
            <v>Machine Numbering-(10 cm)</v>
          </cell>
          <cell r="O1431">
            <v>0</v>
          </cell>
        </row>
        <row r="1432">
          <cell r="D1432" t="str">
            <v>Machine Numbering-(12 cm)</v>
          </cell>
          <cell r="O1432">
            <v>0</v>
          </cell>
        </row>
        <row r="1433">
          <cell r="D1433" t="str">
            <v>Machine Oil</v>
          </cell>
          <cell r="O1433">
            <v>0</v>
          </cell>
        </row>
        <row r="1434">
          <cell r="D1434" t="str">
            <v>Machine Oil-32 Grade</v>
          </cell>
          <cell r="O1434">
            <v>0</v>
          </cell>
        </row>
        <row r="1435">
          <cell r="D1435" t="str">
            <v>Machine Sticker</v>
          </cell>
          <cell r="O1435">
            <v>0</v>
          </cell>
        </row>
        <row r="1436">
          <cell r="D1436" t="str">
            <v>Magnet Guide</v>
          </cell>
          <cell r="O1436">
            <v>10</v>
          </cell>
        </row>
        <row r="1437">
          <cell r="D1437" t="str">
            <v>Mobil</v>
          </cell>
          <cell r="O1437">
            <v>1</v>
          </cell>
        </row>
        <row r="1438">
          <cell r="D1438" t="str">
            <v>N/F Machine Fixed Knife</v>
          </cell>
          <cell r="O1438">
            <v>0</v>
          </cell>
        </row>
        <row r="1439">
          <cell r="D1439" t="str">
            <v>N/F Machine Knife Patty</v>
          </cell>
          <cell r="O1439">
            <v>0</v>
          </cell>
        </row>
        <row r="1440">
          <cell r="D1440" t="str">
            <v>N/F Machine Moving Knife</v>
          </cell>
          <cell r="O1440">
            <v>0</v>
          </cell>
        </row>
        <row r="1441">
          <cell r="D1441" t="str">
            <v>N/F Machine Needle Palet Havy</v>
          </cell>
          <cell r="O1441">
            <v>0</v>
          </cell>
        </row>
        <row r="1442">
          <cell r="D1442" t="str">
            <v>Needle Allen Key</v>
          </cell>
          <cell r="O1442">
            <v>1</v>
          </cell>
        </row>
        <row r="1443">
          <cell r="D1443" t="str">
            <v>Needle Pass Machine Calibration Card 1.2</v>
          </cell>
          <cell r="O1443">
            <v>0</v>
          </cell>
        </row>
        <row r="1444">
          <cell r="D1444" t="str">
            <v>Needle Pass Machine Calibration Card 1.5</v>
          </cell>
          <cell r="O1444">
            <v>0</v>
          </cell>
        </row>
        <row r="1445">
          <cell r="D1445" t="str">
            <v xml:space="preserve">Nekto Tape </v>
          </cell>
          <cell r="O1445">
            <v>0</v>
          </cell>
        </row>
        <row r="1446">
          <cell r="D1446" t="str">
            <v>Nose Plus-08"</v>
          </cell>
          <cell r="O1446">
            <v>1</v>
          </cell>
        </row>
        <row r="1447">
          <cell r="D1447" t="str">
            <v>O/L Allowance Guide</v>
          </cell>
          <cell r="O1447">
            <v>0</v>
          </cell>
        </row>
        <row r="1448">
          <cell r="D1448" t="str">
            <v>O/L Chain Looper</v>
          </cell>
          <cell r="O1448">
            <v>0</v>
          </cell>
        </row>
        <row r="1449">
          <cell r="D1449" t="str">
            <v xml:space="preserve">O/L Feet Dog -5th Thread </v>
          </cell>
          <cell r="O1449">
            <v>0</v>
          </cell>
        </row>
        <row r="1450">
          <cell r="D1450" t="str">
            <v>O/L Foust Looper</v>
          </cell>
          <cell r="O1450">
            <v>0</v>
          </cell>
        </row>
        <row r="1451">
          <cell r="D1451" t="str">
            <v>O/L Gauge Set-4th Thread</v>
          </cell>
          <cell r="O1451">
            <v>0</v>
          </cell>
        </row>
        <row r="1452">
          <cell r="D1452" t="str">
            <v>O/L Gauge Set-5th Thread</v>
          </cell>
          <cell r="O1452">
            <v>0</v>
          </cell>
        </row>
        <row r="1453">
          <cell r="D1453" t="str">
            <v>O/L Knife With Patti-Heavy</v>
          </cell>
          <cell r="O1453">
            <v>0</v>
          </cell>
        </row>
        <row r="1454">
          <cell r="D1454" t="str">
            <v>O/L Knife With Patti-Light</v>
          </cell>
          <cell r="O1454">
            <v>0</v>
          </cell>
        </row>
        <row r="1455">
          <cell r="D1455" t="str">
            <v xml:space="preserve">O/L Lower Knife </v>
          </cell>
          <cell r="O1455">
            <v>5</v>
          </cell>
        </row>
        <row r="1456">
          <cell r="D1456" t="str">
            <v>O/L Lower Looper</v>
          </cell>
          <cell r="O1456">
            <v>0</v>
          </cell>
        </row>
        <row r="1457">
          <cell r="D1457" t="str">
            <v>O/L Needle Feet Screw</v>
          </cell>
          <cell r="O1457">
            <v>0</v>
          </cell>
        </row>
        <row r="1458">
          <cell r="D1458" t="str">
            <v>O/L Needle Palet-5th</v>
          </cell>
          <cell r="O1458">
            <v>0</v>
          </cell>
        </row>
        <row r="1459">
          <cell r="D1459" t="str">
            <v>O/L Needle Screw</v>
          </cell>
          <cell r="O1459">
            <v>0</v>
          </cell>
        </row>
        <row r="1460">
          <cell r="D1460" t="str">
            <v>O/L Oil Filter</v>
          </cell>
          <cell r="O1460">
            <v>1</v>
          </cell>
        </row>
        <row r="1461">
          <cell r="D1461" t="str">
            <v>O/L pressur feet bar</v>
          </cell>
          <cell r="O1461">
            <v>0</v>
          </cell>
        </row>
        <row r="1462">
          <cell r="D1462" t="str">
            <v>O/L Pressure Feet-4th</v>
          </cell>
          <cell r="O1462">
            <v>0</v>
          </cell>
        </row>
        <row r="1463">
          <cell r="D1463" t="str">
            <v>O/L Pressure Feet-5th</v>
          </cell>
          <cell r="O1463">
            <v>0</v>
          </cell>
        </row>
        <row r="1464">
          <cell r="D1464" t="str">
            <v>O/L Thread Cutter Knife</v>
          </cell>
          <cell r="O1464">
            <v>0</v>
          </cell>
        </row>
        <row r="1465">
          <cell r="D1465" t="str">
            <v>O/L Upper Knife</v>
          </cell>
          <cell r="O1465">
            <v>6</v>
          </cell>
        </row>
        <row r="1466">
          <cell r="D1466" t="str">
            <v>O/L Upper Looper</v>
          </cell>
          <cell r="O1466">
            <v>0</v>
          </cell>
        </row>
        <row r="1467">
          <cell r="D1467" t="str">
            <v>P/M 2Part Join Folder-8mm</v>
          </cell>
          <cell r="O1467">
            <v>0</v>
          </cell>
        </row>
        <row r="1468">
          <cell r="D1468" t="str">
            <v>P/M Auto Bobbin Winder</v>
          </cell>
          <cell r="O1468">
            <v>0</v>
          </cell>
        </row>
        <row r="1469">
          <cell r="D1469" t="str">
            <v xml:space="preserve">P/M Auto Bobbin Winder Rubber </v>
          </cell>
          <cell r="O1469">
            <v>5</v>
          </cell>
        </row>
        <row r="1470">
          <cell r="D1470" t="str">
            <v>P/M Binding Folder-22mm-10mm</v>
          </cell>
          <cell r="O1470">
            <v>0</v>
          </cell>
        </row>
        <row r="1471">
          <cell r="D1471" t="str">
            <v>P/M Binding Folder-24mm-10mm</v>
          </cell>
          <cell r="O1471">
            <v>0</v>
          </cell>
        </row>
        <row r="1472">
          <cell r="D1472" t="str">
            <v>P/M Binding Folder-26mm-10mm</v>
          </cell>
          <cell r="O1472">
            <v>0</v>
          </cell>
        </row>
        <row r="1473">
          <cell r="D1473" t="str">
            <v>P/M Binding Folder-28mm-10mm</v>
          </cell>
          <cell r="O1473">
            <v>0</v>
          </cell>
        </row>
        <row r="1474">
          <cell r="D1474" t="str">
            <v>P/M Binding Folder-30mm-10mm</v>
          </cell>
          <cell r="O1474">
            <v>0</v>
          </cell>
        </row>
        <row r="1475">
          <cell r="D1475" t="str">
            <v>P/M Binding Folder-32mm-10mm</v>
          </cell>
          <cell r="O1475">
            <v>0</v>
          </cell>
        </row>
        <row r="1476">
          <cell r="D1476" t="str">
            <v>P/M Binding Folder-34mm-10mm</v>
          </cell>
          <cell r="O1476">
            <v>0</v>
          </cell>
        </row>
        <row r="1477">
          <cell r="D1477" t="str">
            <v>P/M Binding Folder-36mm-10mm</v>
          </cell>
          <cell r="O1477">
            <v>0</v>
          </cell>
        </row>
        <row r="1478">
          <cell r="D1478" t="str">
            <v>P/M Binding Folder-38mm-10mm</v>
          </cell>
          <cell r="O1478">
            <v>0</v>
          </cell>
        </row>
        <row r="1479">
          <cell r="D1479" t="str">
            <v>P/M Binding Folder-40mm-10mm</v>
          </cell>
          <cell r="O1479">
            <v>0</v>
          </cell>
        </row>
        <row r="1480">
          <cell r="D1480" t="str">
            <v>P/M Bobbin Case</v>
          </cell>
          <cell r="O1480">
            <v>0</v>
          </cell>
        </row>
        <row r="1481">
          <cell r="D1481" t="str">
            <v>P/M Bobbin Case Patti</v>
          </cell>
          <cell r="O1481">
            <v>2</v>
          </cell>
        </row>
        <row r="1482">
          <cell r="D1482" t="str">
            <v>P/M Bobbin Case Screw-Large</v>
          </cell>
          <cell r="O1482">
            <v>1</v>
          </cell>
        </row>
        <row r="1483">
          <cell r="D1483" t="str">
            <v>P/M Bobbin Case Screw-Small</v>
          </cell>
          <cell r="O1483">
            <v>1</v>
          </cell>
        </row>
        <row r="1484">
          <cell r="D1484" t="str">
            <v>P/M Bobbin Case Spring</v>
          </cell>
          <cell r="O1484">
            <v>0</v>
          </cell>
        </row>
        <row r="1485">
          <cell r="D1485" t="str">
            <v xml:space="preserve">P/M Fabring Guide </v>
          </cell>
          <cell r="O1485">
            <v>0</v>
          </cell>
        </row>
        <row r="1486">
          <cell r="D1486" t="str">
            <v>P/M Face Cover Rubber</v>
          </cell>
          <cell r="O1486">
            <v>0</v>
          </cell>
        </row>
        <row r="1487">
          <cell r="D1487" t="str">
            <v>P/M Fixed Knife</v>
          </cell>
          <cell r="O1487">
            <v>0</v>
          </cell>
        </row>
        <row r="1488">
          <cell r="D1488" t="str">
            <v>P/M Gauge Set- 05 Line</v>
          </cell>
          <cell r="O1488">
            <v>0</v>
          </cell>
        </row>
        <row r="1489">
          <cell r="D1489" t="str">
            <v>P/M Guide Screw</v>
          </cell>
          <cell r="O1489">
            <v>0</v>
          </cell>
        </row>
        <row r="1490">
          <cell r="D1490" t="str">
            <v>P/M Hanger Loop Folder-26mm-07mm</v>
          </cell>
          <cell r="O1490">
            <v>0</v>
          </cell>
        </row>
        <row r="1491">
          <cell r="D1491" t="str">
            <v>P/M Hanger Loop Gamble Folder-37mm-10mm</v>
          </cell>
          <cell r="O1491">
            <v>0</v>
          </cell>
        </row>
        <row r="1492">
          <cell r="D1492" t="str">
            <v>P/M Heavy Set-26</v>
          </cell>
          <cell r="O1492">
            <v>0</v>
          </cell>
        </row>
        <row r="1493">
          <cell r="D1493" t="str">
            <v>P/M Hemming Folder-3/8</v>
          </cell>
          <cell r="O1493">
            <v>0</v>
          </cell>
        </row>
        <row r="1494">
          <cell r="D1494" t="str">
            <v>P/M Hemming Folder-3/9</v>
          </cell>
          <cell r="O1494">
            <v>0</v>
          </cell>
        </row>
        <row r="1495">
          <cell r="D1495" t="str">
            <v>P/M Hook Guide</v>
          </cell>
          <cell r="O1495">
            <v>0</v>
          </cell>
        </row>
        <row r="1496">
          <cell r="D1496" t="str">
            <v>P/M Metal Binding Roller Guide</v>
          </cell>
          <cell r="O1496">
            <v>0</v>
          </cell>
        </row>
        <row r="1497">
          <cell r="D1497" t="str">
            <v xml:space="preserve">P/M Metal Feet Dog-2.5 </v>
          </cell>
          <cell r="O1497">
            <v>0</v>
          </cell>
        </row>
        <row r="1498">
          <cell r="D1498" t="str">
            <v>P/M Metal Feet Dog-53</v>
          </cell>
          <cell r="O1498">
            <v>0</v>
          </cell>
        </row>
        <row r="1499">
          <cell r="D1499" t="str">
            <v>P/M Metal Feet Dog-57</v>
          </cell>
          <cell r="O1499">
            <v>0</v>
          </cell>
        </row>
        <row r="1500">
          <cell r="D1500" t="str">
            <v>P/M Metal Pressur Regulator</v>
          </cell>
          <cell r="O1500">
            <v>0</v>
          </cell>
        </row>
        <row r="1501">
          <cell r="D1501" t="str">
            <v>P/M Moving Knife</v>
          </cell>
          <cell r="O1501">
            <v>0</v>
          </cell>
        </row>
        <row r="1502">
          <cell r="D1502" t="str">
            <v>P/M Needle Bar Thread Guide</v>
          </cell>
          <cell r="O1502">
            <v>5</v>
          </cell>
        </row>
        <row r="1503">
          <cell r="D1503" t="str">
            <v>P/M Needle Palet+Feet Dog-2.5</v>
          </cell>
          <cell r="O1503">
            <v>0</v>
          </cell>
        </row>
        <row r="1504">
          <cell r="D1504" t="str">
            <v>P/M Needle Palet-12</v>
          </cell>
          <cell r="O1504">
            <v>0</v>
          </cell>
        </row>
        <row r="1505">
          <cell r="D1505" t="str">
            <v>P/M Needle Palet-14</v>
          </cell>
          <cell r="O1505">
            <v>0</v>
          </cell>
        </row>
        <row r="1506">
          <cell r="D1506" t="str">
            <v>P/M Needle Palet-16</v>
          </cell>
          <cell r="O1506">
            <v>0</v>
          </cell>
        </row>
        <row r="1507">
          <cell r="D1507" t="str">
            <v>P/M Needle Palet-18</v>
          </cell>
          <cell r="O1507">
            <v>0</v>
          </cell>
        </row>
        <row r="1508">
          <cell r="D1508" t="str">
            <v>P/M Needle Palet-20</v>
          </cell>
          <cell r="O1508">
            <v>0</v>
          </cell>
        </row>
        <row r="1509">
          <cell r="D1509" t="str">
            <v>P/M Needle Palet-22</v>
          </cell>
          <cell r="O1509">
            <v>0</v>
          </cell>
        </row>
        <row r="1510">
          <cell r="D1510" t="str">
            <v>P/M Needle Palet-24</v>
          </cell>
          <cell r="O1510">
            <v>0</v>
          </cell>
        </row>
        <row r="1511">
          <cell r="D1511" t="str">
            <v>P/M Needle Palet-26</v>
          </cell>
          <cell r="O1511">
            <v>0</v>
          </cell>
        </row>
        <row r="1512">
          <cell r="D1512" t="str">
            <v>P/M Needle Palet-28</v>
          </cell>
          <cell r="O1512">
            <v>0</v>
          </cell>
        </row>
        <row r="1513">
          <cell r="D1513" t="str">
            <v>P/M Needle Safety Guard</v>
          </cell>
          <cell r="O1513">
            <v>48</v>
          </cell>
        </row>
        <row r="1514">
          <cell r="D1514" t="str">
            <v>P/M Needle Screw</v>
          </cell>
          <cell r="O1514">
            <v>7</v>
          </cell>
        </row>
        <row r="1515">
          <cell r="D1515" t="str">
            <v>P/M Oill Cap</v>
          </cell>
          <cell r="O1515">
            <v>1</v>
          </cell>
        </row>
        <row r="1516">
          <cell r="D1516" t="str">
            <v>P/M Palet Screw</v>
          </cell>
          <cell r="O1516">
            <v>5</v>
          </cell>
        </row>
        <row r="1517">
          <cell r="D1517" t="str">
            <v>P/M PCB Card</v>
          </cell>
          <cell r="O1517">
            <v>0</v>
          </cell>
        </row>
        <row r="1518">
          <cell r="D1518" t="str">
            <v>P/M Piping Folder-16mm</v>
          </cell>
          <cell r="O1518">
            <v>0</v>
          </cell>
        </row>
        <row r="1519">
          <cell r="D1519" t="str">
            <v>P/M Piping Folder-32mm-8mm</v>
          </cell>
          <cell r="O1519">
            <v>0</v>
          </cell>
        </row>
        <row r="1520">
          <cell r="D1520" t="str">
            <v>P/M Plastic Binding Roller Guide</v>
          </cell>
          <cell r="O1520">
            <v>0</v>
          </cell>
        </row>
        <row r="1521">
          <cell r="D1521" t="str">
            <v>P/M Plastic Drawsting Drwn Guide CL</v>
          </cell>
          <cell r="O1521">
            <v>0</v>
          </cell>
        </row>
        <row r="1522">
          <cell r="D1522" t="str">
            <v>P/M Plastic Drawsting Drwn Guide CR</v>
          </cell>
          <cell r="O1522">
            <v>0</v>
          </cell>
        </row>
        <row r="1523">
          <cell r="D1523" t="str">
            <v>P/M Plastic Feet Dog-2.5 Line</v>
          </cell>
          <cell r="O1523">
            <v>0</v>
          </cell>
        </row>
        <row r="1524">
          <cell r="D1524" t="str">
            <v>P/M Plastic Feet Dog-53</v>
          </cell>
          <cell r="O1524">
            <v>0</v>
          </cell>
        </row>
        <row r="1525">
          <cell r="D1525" t="str">
            <v>P/M Plastic Feet Dog-Auto</v>
          </cell>
          <cell r="O1525">
            <v>2</v>
          </cell>
        </row>
        <row r="1526">
          <cell r="D1526" t="str">
            <v>P/M Plastic Pressur Regulator</v>
          </cell>
          <cell r="O1526">
            <v>0</v>
          </cell>
        </row>
        <row r="1527">
          <cell r="D1527" t="str">
            <v xml:space="preserve">P/M Plastic Roller  </v>
          </cell>
          <cell r="O1527">
            <v>0</v>
          </cell>
        </row>
        <row r="1528">
          <cell r="D1528" t="str">
            <v>P/M Pressure Feet Spring</v>
          </cell>
          <cell r="O1528">
            <v>0</v>
          </cell>
        </row>
        <row r="1529">
          <cell r="D1529" t="str">
            <v>P/M Roller Device</v>
          </cell>
          <cell r="O1529">
            <v>0</v>
          </cell>
        </row>
        <row r="1530">
          <cell r="D1530" t="str">
            <v>P/M Rotary Hook</v>
          </cell>
          <cell r="O1530">
            <v>0</v>
          </cell>
        </row>
        <row r="1531">
          <cell r="D1531" t="str">
            <v>P/M Sarkalep-3mm</v>
          </cell>
          <cell r="O1531">
            <v>0</v>
          </cell>
        </row>
        <row r="1532">
          <cell r="D1532" t="str">
            <v>P/M Sarkalep-4mm</v>
          </cell>
          <cell r="O1532">
            <v>0</v>
          </cell>
        </row>
        <row r="1533">
          <cell r="D1533" t="str">
            <v>P/M Sarkalep-5mm</v>
          </cell>
          <cell r="O1533">
            <v>0</v>
          </cell>
        </row>
        <row r="1534">
          <cell r="D1534" t="str">
            <v>P/M Sarkalep-6mm</v>
          </cell>
          <cell r="O1534">
            <v>0</v>
          </cell>
        </row>
        <row r="1535">
          <cell r="D1535" t="str">
            <v>P/M Sarkalep-8mm</v>
          </cell>
          <cell r="O1535">
            <v>0</v>
          </cell>
        </row>
        <row r="1536">
          <cell r="D1536" t="str">
            <v>P/M SP Plastic Roller Guide 1/16 CL</v>
          </cell>
          <cell r="O1536">
            <v>0</v>
          </cell>
        </row>
        <row r="1537">
          <cell r="D1537" t="str">
            <v>P/M SP Plastic Roller Guide 1/16 CR</v>
          </cell>
          <cell r="O1537">
            <v>0</v>
          </cell>
        </row>
        <row r="1538">
          <cell r="D1538" t="str">
            <v>P/M SP Plastic Roller Guide 1/4 CL</v>
          </cell>
          <cell r="O1538">
            <v>0</v>
          </cell>
        </row>
        <row r="1539">
          <cell r="D1539" t="str">
            <v>P/M SP Plastic Roller Guide 1/4 CR</v>
          </cell>
          <cell r="O1539">
            <v>0</v>
          </cell>
        </row>
        <row r="1540">
          <cell r="D1540" t="str">
            <v>P/M SP Plastic Roller Guide 1/8 CL</v>
          </cell>
          <cell r="O1540">
            <v>0</v>
          </cell>
        </row>
        <row r="1541">
          <cell r="D1541" t="str">
            <v>P/M SP Plastic Roller Guide 1/8 CR</v>
          </cell>
          <cell r="O1541">
            <v>0</v>
          </cell>
        </row>
        <row r="1542">
          <cell r="D1542" t="str">
            <v>P/M Take-up Spring</v>
          </cell>
          <cell r="O1542">
            <v>1</v>
          </cell>
        </row>
        <row r="1543">
          <cell r="D1543" t="str">
            <v>P/M Tension Pust</v>
          </cell>
          <cell r="O1543">
            <v>3</v>
          </cell>
        </row>
        <row r="1544">
          <cell r="D1544" t="str">
            <v>P/M Tension Pust-Big</v>
          </cell>
          <cell r="O1544">
            <v>0</v>
          </cell>
        </row>
        <row r="1545">
          <cell r="D1545" t="str">
            <v>P/M Tentop Folder-24mm-7mm</v>
          </cell>
          <cell r="O1545">
            <v>0</v>
          </cell>
        </row>
        <row r="1546">
          <cell r="D1546" t="str">
            <v>P/M Thread Guide Knife</v>
          </cell>
          <cell r="O1546">
            <v>2</v>
          </cell>
        </row>
        <row r="1547">
          <cell r="D1547" t="str">
            <v>P/M Zikset</v>
          </cell>
          <cell r="O1547">
            <v>0</v>
          </cell>
        </row>
        <row r="1548">
          <cell r="D1548" t="str">
            <v>Piping Stand</v>
          </cell>
          <cell r="O1548">
            <v>0</v>
          </cell>
        </row>
        <row r="1549">
          <cell r="D1549" t="str">
            <v>Quilting Machine Base Plate Additional Set</v>
          </cell>
          <cell r="O1549">
            <v>0</v>
          </cell>
        </row>
        <row r="1550">
          <cell r="D1550" t="str">
            <v>Re cone Machine Vous</v>
          </cell>
          <cell r="O1550">
            <v>0</v>
          </cell>
        </row>
        <row r="1551">
          <cell r="D1551" t="str">
            <v>Report Stand</v>
          </cell>
          <cell r="O1551">
            <v>0</v>
          </cell>
        </row>
        <row r="1552">
          <cell r="D1552" t="str">
            <v>Rivet Button Mould</v>
          </cell>
          <cell r="O1552">
            <v>0</v>
          </cell>
        </row>
        <row r="1553">
          <cell r="D1553" t="str">
            <v>Saikle Spoke</v>
          </cell>
          <cell r="O1553">
            <v>0</v>
          </cell>
        </row>
        <row r="1554">
          <cell r="D1554" t="str">
            <v>Selai Wrench-08"</v>
          </cell>
          <cell r="O1554">
            <v>0</v>
          </cell>
        </row>
        <row r="1555">
          <cell r="D1555" t="str">
            <v>Selai Wrench-10"</v>
          </cell>
          <cell r="O1555">
            <v>1</v>
          </cell>
        </row>
        <row r="1556">
          <cell r="D1556" t="str">
            <v>Shank Button Mould</v>
          </cell>
          <cell r="O1556">
            <v>4</v>
          </cell>
        </row>
        <row r="1557">
          <cell r="D1557" t="str">
            <v>Sharp Tool Box- 13"</v>
          </cell>
          <cell r="O1557">
            <v>1</v>
          </cell>
        </row>
        <row r="1558">
          <cell r="D1558" t="str">
            <v>Silicone Oil</v>
          </cell>
          <cell r="O1558">
            <v>0</v>
          </cell>
        </row>
        <row r="1559">
          <cell r="D1559" t="str">
            <v>Snap Button Mould</v>
          </cell>
          <cell r="O1559">
            <v>2</v>
          </cell>
        </row>
        <row r="1560">
          <cell r="D1560" t="str">
            <v>Snap Button Punch Mould</v>
          </cell>
          <cell r="O1560">
            <v>5</v>
          </cell>
        </row>
        <row r="1561">
          <cell r="D1561" t="str">
            <v>Spaghative Reverse Loop Folder-27mm-10mm</v>
          </cell>
          <cell r="O1561">
            <v>0</v>
          </cell>
        </row>
        <row r="1562">
          <cell r="D1562" t="str">
            <v>Spaghative Reverse Loop Folder-34mm-12mm</v>
          </cell>
          <cell r="O1562">
            <v>0</v>
          </cell>
        </row>
        <row r="1563">
          <cell r="D1563" t="str">
            <v>Star Driver -10"</v>
          </cell>
          <cell r="O1563">
            <v>0</v>
          </cell>
        </row>
        <row r="1564">
          <cell r="D1564" t="str">
            <v>Star Driver 6"</v>
          </cell>
          <cell r="O1564">
            <v>0</v>
          </cell>
        </row>
        <row r="1565">
          <cell r="D1565" t="str">
            <v>Super Glue-03gm</v>
          </cell>
          <cell r="O1565">
            <v>4</v>
          </cell>
        </row>
        <row r="1566">
          <cell r="D1566" t="str">
            <v>Super Glue-25gm</v>
          </cell>
          <cell r="O1566">
            <v>0</v>
          </cell>
        </row>
        <row r="1567">
          <cell r="D1567" t="str">
            <v>Super Glue-40gm</v>
          </cell>
          <cell r="O1567">
            <v>5</v>
          </cell>
        </row>
        <row r="1568">
          <cell r="D1568" t="str">
            <v>T/N Auto Gauge Set-01"</v>
          </cell>
          <cell r="O1568">
            <v>0</v>
          </cell>
        </row>
        <row r="1569">
          <cell r="D1569" t="str">
            <v>T/N Auto Gauge Set-1.1/2</v>
          </cell>
          <cell r="O1569">
            <v>2</v>
          </cell>
        </row>
        <row r="1570">
          <cell r="D1570" t="str">
            <v>T/N Auto Gauge Set-1.1/4</v>
          </cell>
          <cell r="O1570">
            <v>0</v>
          </cell>
        </row>
        <row r="1571">
          <cell r="D1571" t="str">
            <v>T/N Auto Gauge Set-1.1/8</v>
          </cell>
          <cell r="O1571">
            <v>0</v>
          </cell>
        </row>
        <row r="1572">
          <cell r="D1572" t="str">
            <v>T/N Auto Gauge Set-1.3/8</v>
          </cell>
          <cell r="O1572">
            <v>0</v>
          </cell>
        </row>
        <row r="1573">
          <cell r="D1573" t="str">
            <v>T/N Auto Gauge Set-1.5/8</v>
          </cell>
          <cell r="O1573">
            <v>1</v>
          </cell>
        </row>
        <row r="1574">
          <cell r="D1574" t="str">
            <v>T/N Auto Gauge Set-1/2"</v>
          </cell>
          <cell r="O1574">
            <v>0</v>
          </cell>
        </row>
        <row r="1575">
          <cell r="D1575" t="str">
            <v>T/N Auto Gauge Set-1/8</v>
          </cell>
          <cell r="O1575">
            <v>0</v>
          </cell>
        </row>
        <row r="1576">
          <cell r="D1576" t="str">
            <v>T/N Auto Gauge Set-3/16</v>
          </cell>
          <cell r="O1576">
            <v>0</v>
          </cell>
        </row>
        <row r="1577">
          <cell r="D1577" t="str">
            <v>T/N Auto Gauge Set-3/4</v>
          </cell>
          <cell r="O1577">
            <v>0</v>
          </cell>
        </row>
        <row r="1578">
          <cell r="D1578" t="str">
            <v>T/N Auto Gauge Set-3/8</v>
          </cell>
          <cell r="O1578">
            <v>0</v>
          </cell>
        </row>
        <row r="1579">
          <cell r="D1579" t="str">
            <v>T/N Auto Gauge Set-5/16</v>
          </cell>
          <cell r="O1579">
            <v>0</v>
          </cell>
        </row>
        <row r="1580">
          <cell r="D1580" t="str">
            <v>T/N Auto Gauge Set-5/8</v>
          </cell>
          <cell r="O1580">
            <v>0</v>
          </cell>
        </row>
        <row r="1581">
          <cell r="D1581" t="str">
            <v>T/N Auto Gauge Set-7/8</v>
          </cell>
          <cell r="O1581">
            <v>0</v>
          </cell>
        </row>
        <row r="1582">
          <cell r="D1582" t="str">
            <v>T/N Bobbin Case Patti</v>
          </cell>
          <cell r="O1582">
            <v>0</v>
          </cell>
        </row>
        <row r="1583">
          <cell r="D1583" t="str">
            <v>T/N Bobbin Case Spring</v>
          </cell>
          <cell r="O1583">
            <v>0</v>
          </cell>
        </row>
        <row r="1584">
          <cell r="D1584" t="str">
            <v>T/N Chain Stitch Machine Lopper</v>
          </cell>
          <cell r="O1584">
            <v>0</v>
          </cell>
        </row>
        <row r="1585">
          <cell r="D1585" t="str">
            <v>T/N Critical Binding Folder-36mm-9mm</v>
          </cell>
          <cell r="O1585">
            <v>0</v>
          </cell>
        </row>
        <row r="1586">
          <cell r="D1586" t="str">
            <v>T/N Feet Dog Screw</v>
          </cell>
          <cell r="O1586">
            <v>5</v>
          </cell>
        </row>
        <row r="1587">
          <cell r="D1587" t="str">
            <v>T/N Fixed Knife</v>
          </cell>
          <cell r="O1587">
            <v>0</v>
          </cell>
        </row>
        <row r="1588">
          <cell r="D1588" t="str">
            <v>T/N Hanger Loop Gamble Folder-32mm-8mm</v>
          </cell>
          <cell r="O1588">
            <v>0</v>
          </cell>
        </row>
        <row r="1589">
          <cell r="D1589" t="str">
            <v>T/N Knife Patti</v>
          </cell>
          <cell r="O1589">
            <v>0</v>
          </cell>
        </row>
        <row r="1590">
          <cell r="D1590" t="str">
            <v>T/N Lifter Cap</v>
          </cell>
          <cell r="O1590">
            <v>0</v>
          </cell>
        </row>
        <row r="1591">
          <cell r="D1591" t="str">
            <v xml:space="preserve">T/N Machine Bobbin </v>
          </cell>
          <cell r="O1591">
            <v>0</v>
          </cell>
        </row>
        <row r="1592">
          <cell r="D1592" t="str">
            <v>T/N Machine Preassur Feet Bar</v>
          </cell>
          <cell r="O1592">
            <v>0</v>
          </cell>
        </row>
        <row r="1593">
          <cell r="D1593" t="str">
            <v>T/N Machine Roller Device</v>
          </cell>
          <cell r="O1593">
            <v>0</v>
          </cell>
        </row>
        <row r="1594">
          <cell r="D1594" t="str">
            <v>T/N Moving Knife</v>
          </cell>
          <cell r="O1594">
            <v>0</v>
          </cell>
        </row>
        <row r="1595">
          <cell r="D1595" t="str">
            <v>T/N Needle Safety Guard</v>
          </cell>
          <cell r="O1595">
            <v>0</v>
          </cell>
        </row>
        <row r="1596">
          <cell r="D1596" t="str">
            <v>T/N Needle Screw</v>
          </cell>
          <cell r="O1596">
            <v>5</v>
          </cell>
        </row>
        <row r="1597">
          <cell r="D1597" t="str">
            <v>T/N Palet Screw</v>
          </cell>
          <cell r="O1597">
            <v>0</v>
          </cell>
        </row>
        <row r="1598">
          <cell r="D1598" t="str">
            <v>T/N Rotary Hook</v>
          </cell>
          <cell r="O1598">
            <v>1</v>
          </cell>
        </row>
        <row r="1599">
          <cell r="D1599" t="str">
            <v>T/N Take Up Spring CL</v>
          </cell>
          <cell r="O1599">
            <v>1</v>
          </cell>
        </row>
        <row r="1600">
          <cell r="D1600" t="str">
            <v>T/N Take Up Spring CR</v>
          </cell>
          <cell r="O1600">
            <v>1</v>
          </cell>
        </row>
        <row r="1601">
          <cell r="D1601" t="str">
            <v>Table Vise Clamp</v>
          </cell>
          <cell r="O1601">
            <v>0</v>
          </cell>
        </row>
        <row r="1602">
          <cell r="D1602" t="str">
            <v>Tan Top Lether Folder-38mm-10mm</v>
          </cell>
          <cell r="O1602">
            <v>0</v>
          </cell>
        </row>
        <row r="1603">
          <cell r="D1603" t="str">
            <v>Taplon Tape 0.5mm</v>
          </cell>
          <cell r="O1603">
            <v>5</v>
          </cell>
        </row>
        <row r="1604">
          <cell r="D1604" t="str">
            <v>Taplon Tape 1mm</v>
          </cell>
          <cell r="O1604">
            <v>7</v>
          </cell>
        </row>
        <row r="1605">
          <cell r="D1605" t="str">
            <v>Template Cutting Machine Mirco Drive</v>
          </cell>
          <cell r="O1605">
            <v>0</v>
          </cell>
        </row>
        <row r="1606">
          <cell r="D1606" t="str">
            <v>Template Cutting Machine Router Motor</v>
          </cell>
          <cell r="O1606">
            <v>0</v>
          </cell>
        </row>
        <row r="1607">
          <cell r="D1607" t="str">
            <v>Tension System Binding Folder -22mm-11mm</v>
          </cell>
          <cell r="O1607">
            <v>0</v>
          </cell>
        </row>
        <row r="1608">
          <cell r="D1608" t="str">
            <v>Thai Chanel 1.1/2</v>
          </cell>
          <cell r="O1608">
            <v>0</v>
          </cell>
        </row>
        <row r="1609">
          <cell r="D1609" t="str">
            <v>Thai Rabber</v>
          </cell>
          <cell r="O1609">
            <v>0</v>
          </cell>
        </row>
        <row r="1610">
          <cell r="D1610" t="str">
            <v>V/T Cutter Knife</v>
          </cell>
          <cell r="O1610">
            <v>7</v>
          </cell>
        </row>
        <row r="1611">
          <cell r="D1611" t="str">
            <v>V/T Gauge Set-1/4</v>
          </cell>
          <cell r="O1611">
            <v>0</v>
          </cell>
        </row>
        <row r="1612">
          <cell r="D1612" t="str">
            <v>V/T Gauge Set-1/8</v>
          </cell>
          <cell r="O1612">
            <v>0</v>
          </cell>
        </row>
        <row r="1613">
          <cell r="D1613" t="str">
            <v>V/T Gauge Set-3/16</v>
          </cell>
          <cell r="O1613">
            <v>0</v>
          </cell>
        </row>
        <row r="1614">
          <cell r="D1614" t="str">
            <v>V/T Gauge Set-3/8</v>
          </cell>
          <cell r="O1614">
            <v>0</v>
          </cell>
        </row>
        <row r="1615">
          <cell r="D1615" t="str">
            <v>V/T Gauge Set-5/16</v>
          </cell>
          <cell r="O1615">
            <v>0</v>
          </cell>
        </row>
        <row r="1616">
          <cell r="D1616" t="str">
            <v>Vernier Scale-12"</v>
          </cell>
          <cell r="O1616">
            <v>0</v>
          </cell>
        </row>
        <row r="1617">
          <cell r="D1617" t="str">
            <v>Vernier Scale-6"</v>
          </cell>
          <cell r="O1617">
            <v>0</v>
          </cell>
        </row>
        <row r="1618">
          <cell r="D1618" t="str">
            <v>Zipper Hanger Stand</v>
          </cell>
          <cell r="O1618">
            <v>0</v>
          </cell>
        </row>
        <row r="1619">
          <cell r="D1619" t="str">
            <v>Zipper Joint Drawsting System Folder-26mm-13mm</v>
          </cell>
          <cell r="O1619">
            <v>0</v>
          </cell>
        </row>
        <row r="1620">
          <cell r="D1620" t="str">
            <v>Zipper Joint Folder-40mm-20mm</v>
          </cell>
          <cell r="O1620">
            <v>0</v>
          </cell>
        </row>
        <row r="1621">
          <cell r="D1621" t="str">
            <v>Snap Button Machine Safety Guard</v>
          </cell>
          <cell r="O1621">
            <v>0</v>
          </cell>
        </row>
        <row r="1622">
          <cell r="D1622" t="str">
            <v>Adhesive Paper-A4 Size-Brown</v>
          </cell>
          <cell r="O1622">
            <v>25</v>
          </cell>
        </row>
        <row r="1623">
          <cell r="D1623" t="str">
            <v>Snap Button M/C Push Button Switch</v>
          </cell>
          <cell r="O1623">
            <v>2</v>
          </cell>
        </row>
        <row r="1624">
          <cell r="D1624" t="str">
            <v>Colour Paper - 3 Color</v>
          </cell>
          <cell r="O1624">
            <v>3</v>
          </cell>
        </row>
        <row r="1625">
          <cell r="D1625" t="str">
            <v>Poly-30 x 22 "</v>
          </cell>
          <cell r="O1625">
            <v>0</v>
          </cell>
        </row>
        <row r="1626">
          <cell r="D1626" t="str">
            <v xml:space="preserve">Poly-9x12" </v>
          </cell>
          <cell r="O1626">
            <v>0</v>
          </cell>
        </row>
        <row r="1627">
          <cell r="D1627" t="str">
            <v>P/M Needle DBX1-MR FFG-14</v>
          </cell>
          <cell r="O1627">
            <v>0</v>
          </cell>
        </row>
        <row r="1628">
          <cell r="D1628" t="str">
            <v>P/M Needle DBX1-MR R-14</v>
          </cell>
          <cell r="O1628">
            <v>0</v>
          </cell>
        </row>
        <row r="1629">
          <cell r="D1629" t="str">
            <v>K/S Needle DVx57 RG-12</v>
          </cell>
          <cell r="O1629">
            <v>0</v>
          </cell>
        </row>
        <row r="1630">
          <cell r="D1630" t="str">
            <v>K/S Needle DVx57 RG-14</v>
          </cell>
          <cell r="O1630">
            <v>0</v>
          </cell>
        </row>
        <row r="1631">
          <cell r="D1631" t="str">
            <v>K/S Needle DVx57 RG-16</v>
          </cell>
          <cell r="O1631">
            <v>0</v>
          </cell>
        </row>
        <row r="1632">
          <cell r="D1632" t="str">
            <v>K/S Needle DVx57 FFG-12</v>
          </cell>
          <cell r="O1632">
            <v>0</v>
          </cell>
        </row>
        <row r="1633">
          <cell r="D1633" t="str">
            <v>K/S Needle DVx57 FFG-14</v>
          </cell>
          <cell r="O1633">
            <v>0</v>
          </cell>
        </row>
        <row r="1634">
          <cell r="D1634" t="str">
            <v>K/S Needle DVx57 FFG-16</v>
          </cell>
          <cell r="O1634">
            <v>0</v>
          </cell>
        </row>
        <row r="1635">
          <cell r="D1635" t="str">
            <v>K/S Needle DVx57 FG-16</v>
          </cell>
          <cell r="O1635">
            <v>0</v>
          </cell>
        </row>
        <row r="1636">
          <cell r="D1636" t="str">
            <v>T/N Needle DPX5 SAN10 XS-FFG-08</v>
          </cell>
          <cell r="O1636">
            <v>0</v>
          </cell>
        </row>
        <row r="1637">
          <cell r="D1637" t="str">
            <v>Air Nipple -4mm</v>
          </cell>
          <cell r="O1637">
            <v>0</v>
          </cell>
        </row>
        <row r="1638">
          <cell r="D1638" t="str">
            <v>Non Woven  Interlining-White</v>
          </cell>
          <cell r="O1638">
            <v>1</v>
          </cell>
        </row>
        <row r="1639">
          <cell r="D1639" t="str">
            <v>Non Woven  Interlining-Black</v>
          </cell>
          <cell r="O1639">
            <v>1</v>
          </cell>
        </row>
        <row r="1640">
          <cell r="D1640" t="str">
            <v>Trangulur Bandage</v>
          </cell>
          <cell r="O1640">
            <v>0</v>
          </cell>
        </row>
        <row r="1641">
          <cell r="D1641" t="str">
            <v>Blood Lancet For Glucometer</v>
          </cell>
          <cell r="O1641">
            <v>100</v>
          </cell>
        </row>
        <row r="1642">
          <cell r="D1642" t="str">
            <v>Capacitor-16 uf</v>
          </cell>
          <cell r="O1642">
            <v>0</v>
          </cell>
        </row>
        <row r="1643">
          <cell r="D1643" t="str">
            <v>Ball Bearing -6203</v>
          </cell>
          <cell r="O1643">
            <v>0</v>
          </cell>
        </row>
        <row r="1644">
          <cell r="D1644" t="str">
            <v>Sairent Belt/Gonta</v>
          </cell>
          <cell r="O1644">
            <v>0</v>
          </cell>
        </row>
        <row r="1645">
          <cell r="D1645" t="str">
            <v>Circuit Breaker TP-63A(ABB)</v>
          </cell>
          <cell r="O1645">
            <v>1</v>
          </cell>
        </row>
        <row r="1646">
          <cell r="D1646" t="str">
            <v>Stand Fan Phaka</v>
          </cell>
          <cell r="O1646">
            <v>1</v>
          </cell>
        </row>
        <row r="1647">
          <cell r="D1647" t="str">
            <v>Zipper Cutting Plus-6.5"</v>
          </cell>
          <cell r="O1647">
            <v>0</v>
          </cell>
        </row>
        <row r="1648">
          <cell r="D1648" t="str">
            <v>K/S Machine Roller Set(Big)</v>
          </cell>
          <cell r="O1648">
            <v>0</v>
          </cell>
        </row>
        <row r="1649">
          <cell r="D1649" t="str">
            <v>Pvc Long Trap-04''</v>
          </cell>
          <cell r="O1649">
            <v>0</v>
          </cell>
        </row>
        <row r="1650">
          <cell r="D1650" t="str">
            <v>Poly-80 x 90 cm</v>
          </cell>
          <cell r="O1650">
            <v>27</v>
          </cell>
        </row>
        <row r="1651">
          <cell r="D1651" t="str">
            <v>Polyethene -72"</v>
          </cell>
          <cell r="O1651">
            <v>0</v>
          </cell>
        </row>
        <row r="1652">
          <cell r="D1652" t="str">
            <v>Trolly Wheel-5"</v>
          </cell>
          <cell r="O1652">
            <v>0</v>
          </cell>
        </row>
        <row r="1653">
          <cell r="D1653" t="str">
            <v>Mosquito Net</v>
          </cell>
          <cell r="O1653">
            <v>0</v>
          </cell>
        </row>
        <row r="1654">
          <cell r="D1654" t="str">
            <v>Snap button Machine Safety Switch Base</v>
          </cell>
          <cell r="O1654">
            <v>1</v>
          </cell>
        </row>
        <row r="1655">
          <cell r="D1655" t="str">
            <v>B/T Round Presser Feet/Plate-20mm</v>
          </cell>
          <cell r="O1655">
            <v>0</v>
          </cell>
        </row>
        <row r="1656">
          <cell r="D1656" t="str">
            <v>B/S Machine Feet Plate-Juki</v>
          </cell>
          <cell r="O1656">
            <v>0</v>
          </cell>
        </row>
        <row r="1657">
          <cell r="D1657" t="str">
            <v>F/L Machine Plastic Pressure Feet</v>
          </cell>
          <cell r="O1657">
            <v>0</v>
          </cell>
        </row>
        <row r="1658">
          <cell r="D1658" t="str">
            <v xml:space="preserve">P/M Needle Bar  </v>
          </cell>
          <cell r="O1658">
            <v>0</v>
          </cell>
        </row>
        <row r="1659">
          <cell r="D1659" t="str">
            <v>P/M Tension Pust Spring</v>
          </cell>
          <cell r="O1659">
            <v>0</v>
          </cell>
        </row>
        <row r="1660">
          <cell r="D1660" t="str">
            <v>K/S Machine Gamble Folder-110mm-42mm</v>
          </cell>
          <cell r="O1660">
            <v>1</v>
          </cell>
        </row>
        <row r="1661">
          <cell r="D1661" t="str">
            <v>E/H Thread Cutting Upper Knife</v>
          </cell>
          <cell r="O1661">
            <v>0</v>
          </cell>
        </row>
        <row r="1662">
          <cell r="D1662" t="str">
            <v>E/H Thread Cutting Lower Knife</v>
          </cell>
          <cell r="O1662">
            <v>0</v>
          </cell>
        </row>
        <row r="1663">
          <cell r="D1663" t="str">
            <v>Ariel Matic Liquid-500 g</v>
          </cell>
          <cell r="O1663">
            <v>1</v>
          </cell>
        </row>
        <row r="1664">
          <cell r="D1664" t="str">
            <v>Ambrella</v>
          </cell>
          <cell r="O1664">
            <v>2</v>
          </cell>
        </row>
        <row r="1665">
          <cell r="D1665" t="str">
            <v>Luggage-28"</v>
          </cell>
          <cell r="O1665">
            <v>1</v>
          </cell>
        </row>
        <row r="1666">
          <cell r="D1666" t="str">
            <v>Macy's Meassurement Sticker</v>
          </cell>
          <cell r="O1666">
            <v>75</v>
          </cell>
        </row>
        <row r="1667">
          <cell r="D1667" t="str">
            <v>Steam Gate Valve-3"</v>
          </cell>
          <cell r="O1667">
            <v>1</v>
          </cell>
        </row>
        <row r="1668">
          <cell r="D1668" t="str">
            <v>Flance-3"</v>
          </cell>
          <cell r="O1668">
            <v>2</v>
          </cell>
        </row>
        <row r="1669">
          <cell r="D1669" t="str">
            <v xml:space="preserve"> Nut Bolt With Washer-16x65mm</v>
          </cell>
          <cell r="O1669">
            <v>8</v>
          </cell>
        </row>
        <row r="1670">
          <cell r="D1670" t="str">
            <v>Denim Pen-81</v>
          </cell>
          <cell r="O1670">
            <v>0</v>
          </cell>
        </row>
        <row r="1671">
          <cell r="D1671" t="str">
            <v>Denim Pen-63</v>
          </cell>
          <cell r="O1671">
            <v>0</v>
          </cell>
        </row>
        <row r="1672">
          <cell r="D1672" t="str">
            <v>P/M Hemming Folder-10mm</v>
          </cell>
          <cell r="O1672">
            <v>2</v>
          </cell>
        </row>
        <row r="1673">
          <cell r="D1673" t="str">
            <v>P/M Hemming Folder-6mm</v>
          </cell>
          <cell r="O1673">
            <v>2</v>
          </cell>
        </row>
        <row r="1674">
          <cell r="D1674" t="str">
            <v>Tab.Bizoran-20mg</v>
          </cell>
          <cell r="O1674">
            <v>1</v>
          </cell>
        </row>
        <row r="1675">
          <cell r="D1675" t="str">
            <v>Micropore Tape-1"</v>
          </cell>
          <cell r="O1675">
            <v>1</v>
          </cell>
        </row>
        <row r="1676">
          <cell r="D1676" t="str">
            <v>Cable Tray(6"x3")</v>
          </cell>
          <cell r="O1676">
            <v>0</v>
          </cell>
        </row>
        <row r="1677">
          <cell r="D1677" t="str">
            <v>Gum -B-7000</v>
          </cell>
          <cell r="O1677">
            <v>1</v>
          </cell>
        </row>
        <row r="1678">
          <cell r="D1678" t="str">
            <v>Additional Table &amp;Clamp</v>
          </cell>
          <cell r="O1678">
            <v>0</v>
          </cell>
        </row>
        <row r="1679">
          <cell r="D1679" t="str">
            <v>Dawer Hander</v>
          </cell>
          <cell r="O1679">
            <v>0</v>
          </cell>
        </row>
        <row r="1680">
          <cell r="D1680" t="str">
            <v>DB Board Rubber Mat</v>
          </cell>
          <cell r="O1680">
            <v>0</v>
          </cell>
        </row>
        <row r="1681">
          <cell r="D1681" t="str">
            <v>Air Solenoid Valve- Sy5120-SG-01</v>
          </cell>
          <cell r="O1681">
            <v>1</v>
          </cell>
        </row>
        <row r="1682">
          <cell r="D1682" t="str">
            <v>Hammer Drill Bit-06mm</v>
          </cell>
          <cell r="O1682">
            <v>0</v>
          </cell>
        </row>
        <row r="1683">
          <cell r="D1683" t="str">
            <v>S S Nut Bolt-8x25 mmWith Washer</v>
          </cell>
          <cell r="O1683">
            <v>0</v>
          </cell>
        </row>
        <row r="1684">
          <cell r="D1684" t="str">
            <v>BL /S Machhine Loop Folder-23-9 mm</v>
          </cell>
          <cell r="O1684">
            <v>1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brahim@humanaapparels.com" TargetMode="External"/><Relationship Id="rId1" Type="http://schemas.openxmlformats.org/officeDocument/2006/relationships/hyperlink" Target="mailto:amirul@humanaapparels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uresh@humanaapparels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uresh@humanaapparels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resh@humanaapparels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suresh@humanaapparels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suresh@humanaapparels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suresh@humanaapparels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suresh@humanaapparels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suresh@humanaapparel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1C94-BAD2-4449-AE47-EFD20D8E3DAB}">
  <sheetPr>
    <pageSetUpPr fitToPage="1"/>
  </sheetPr>
  <dimension ref="A1:U191"/>
  <sheetViews>
    <sheetView showGridLines="0" tabSelected="1" zoomScale="70" zoomScaleNormal="70" zoomScaleSheetLayoutView="80" workbookViewId="0">
      <pane ySplit="11" topLeftCell="A168" activePane="bottomLeft" state="frozen"/>
      <selection pane="bottomLeft" activeCell="B173" sqref="B173"/>
    </sheetView>
  </sheetViews>
  <sheetFormatPr defaultColWidth="9.1796875" defaultRowHeight="14" x14ac:dyDescent="0.3"/>
  <cols>
    <col min="1" max="1" width="5.7265625" style="1" customWidth="1"/>
    <col min="2" max="2" width="41.54296875" style="89" customWidth="1"/>
    <col min="3" max="3" width="9.1796875" style="13" customWidth="1"/>
    <col min="4" max="4" width="22.1796875" style="32" customWidth="1"/>
    <col min="5" max="5" width="9.81640625" style="1" customWidth="1"/>
    <col min="6" max="6" width="18.1796875" style="1" customWidth="1"/>
    <col min="7" max="7" width="11.54296875" style="23" customWidth="1"/>
    <col min="8" max="8" width="8.7265625" style="1" customWidth="1"/>
    <col min="9" max="9" width="8" style="1" customWidth="1"/>
    <col min="10" max="10" width="14.453125" style="1" customWidth="1"/>
    <col min="11" max="11" width="8.7265625" style="125" customWidth="1"/>
    <col min="12" max="12" width="9.26953125" style="1" customWidth="1"/>
    <col min="13" max="13" width="15.54296875" style="1" customWidth="1"/>
    <col min="14" max="14" width="8.7265625" style="19" customWidth="1"/>
    <col min="15" max="15" width="11" style="1" customWidth="1"/>
    <col min="16" max="16" width="13.7265625" style="1" customWidth="1"/>
    <col min="17" max="17" width="15.453125" style="1" customWidth="1"/>
    <col min="18" max="18" width="11" style="1" customWidth="1"/>
    <col min="19" max="20" width="14.1796875" style="1" customWidth="1"/>
    <col min="21" max="21" width="20.81640625" style="1" customWidth="1"/>
    <col min="22" max="16384" width="9.1796875" style="1"/>
  </cols>
  <sheetData>
    <row r="1" spans="1:21" ht="30" customHeight="1" x14ac:dyDescent="0.3">
      <c r="A1" s="140" t="s">
        <v>52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2"/>
    </row>
    <row r="2" spans="1:21" ht="17.5" x14ac:dyDescent="0.3">
      <c r="A2" s="143" t="s">
        <v>34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</row>
    <row r="3" spans="1:21" ht="13.5" customHeight="1" x14ac:dyDescent="0.3">
      <c r="A3" s="134" t="s">
        <v>1</v>
      </c>
      <c r="B3" s="135"/>
      <c r="C3" s="135"/>
      <c r="D3" s="136"/>
      <c r="E3" s="146" t="s">
        <v>210</v>
      </c>
      <c r="F3" s="135"/>
      <c r="G3" s="135"/>
      <c r="H3" s="135"/>
      <c r="I3" s="135"/>
      <c r="J3" s="135"/>
      <c r="K3" s="135"/>
      <c r="L3" s="135"/>
      <c r="M3" s="135"/>
      <c r="N3" s="146" t="s">
        <v>125</v>
      </c>
      <c r="O3" s="135"/>
      <c r="P3" s="135"/>
      <c r="Q3" s="135"/>
      <c r="R3" s="135"/>
      <c r="S3" s="135"/>
      <c r="T3" s="135"/>
      <c r="U3" s="147"/>
    </row>
    <row r="4" spans="1:21" ht="13.5" customHeight="1" x14ac:dyDescent="0.3">
      <c r="A4" s="134" t="s">
        <v>2</v>
      </c>
      <c r="B4" s="135"/>
      <c r="C4" s="135"/>
      <c r="D4" s="136"/>
      <c r="E4" s="137">
        <v>46235</v>
      </c>
      <c r="F4" s="138"/>
      <c r="G4" s="138"/>
      <c r="H4" s="138"/>
      <c r="I4" s="138"/>
      <c r="J4" s="138"/>
      <c r="K4" s="138"/>
      <c r="L4" s="138"/>
      <c r="M4" s="139"/>
      <c r="N4" s="146" t="s">
        <v>127</v>
      </c>
      <c r="O4" s="135"/>
      <c r="P4" s="135"/>
      <c r="Q4" s="135"/>
      <c r="R4" s="135"/>
      <c r="S4" s="135"/>
      <c r="T4" s="135"/>
      <c r="U4" s="147"/>
    </row>
    <row r="5" spans="1:21" ht="13.5" customHeight="1" x14ac:dyDescent="0.3">
      <c r="A5" s="134" t="s">
        <v>3</v>
      </c>
      <c r="B5" s="135"/>
      <c r="C5" s="135"/>
      <c r="D5" s="136"/>
      <c r="E5" s="154" t="s">
        <v>52</v>
      </c>
      <c r="F5" s="155"/>
      <c r="G5" s="155"/>
      <c r="H5" s="155"/>
      <c r="I5" s="155"/>
      <c r="J5" s="155"/>
      <c r="K5" s="155"/>
      <c r="L5" s="155"/>
      <c r="M5" s="155"/>
      <c r="N5" s="146" t="s">
        <v>128</v>
      </c>
      <c r="O5" s="135"/>
      <c r="P5" s="135"/>
      <c r="Q5" s="135"/>
      <c r="R5" s="135"/>
      <c r="S5" s="135"/>
      <c r="T5" s="135"/>
      <c r="U5" s="147"/>
    </row>
    <row r="6" spans="1:21" ht="13.5" customHeight="1" x14ac:dyDescent="0.3">
      <c r="A6" s="134" t="s">
        <v>4</v>
      </c>
      <c r="B6" s="135"/>
      <c r="C6" s="135"/>
      <c r="D6" s="136"/>
      <c r="E6" s="146" t="s">
        <v>36</v>
      </c>
      <c r="F6" s="135"/>
      <c r="G6" s="135"/>
      <c r="H6" s="135"/>
      <c r="I6" s="135"/>
      <c r="J6" s="135"/>
      <c r="K6" s="135"/>
      <c r="L6" s="135"/>
      <c r="M6" s="135"/>
      <c r="N6" s="148" t="s">
        <v>126</v>
      </c>
      <c r="O6" s="149"/>
      <c r="P6" s="149"/>
      <c r="Q6" s="149"/>
      <c r="R6" s="149"/>
      <c r="S6" s="149"/>
      <c r="T6" s="149"/>
      <c r="U6" s="150"/>
    </row>
    <row r="7" spans="1:21" ht="13.5" customHeight="1" x14ac:dyDescent="0.3">
      <c r="A7" s="134" t="s">
        <v>5</v>
      </c>
      <c r="B7" s="135"/>
      <c r="C7" s="135"/>
      <c r="D7" s="136"/>
      <c r="E7" s="146" t="s">
        <v>36</v>
      </c>
      <c r="F7" s="135"/>
      <c r="G7" s="135"/>
      <c r="H7" s="135"/>
      <c r="I7" s="135"/>
      <c r="J7" s="135"/>
      <c r="K7" s="135"/>
      <c r="L7" s="135"/>
      <c r="M7" s="135"/>
      <c r="N7" s="148" t="s">
        <v>129</v>
      </c>
      <c r="O7" s="149"/>
      <c r="P7" s="149"/>
      <c r="Q7" s="149"/>
      <c r="R7" s="149"/>
      <c r="S7" s="149"/>
      <c r="T7" s="149"/>
      <c r="U7" s="150"/>
    </row>
    <row r="8" spans="1:21" ht="13.5" customHeight="1" thickBot="1" x14ac:dyDescent="0.35">
      <c r="A8" s="156" t="s">
        <v>6</v>
      </c>
      <c r="B8" s="157"/>
      <c r="C8" s="157"/>
      <c r="D8" s="158"/>
      <c r="E8" s="159" t="s">
        <v>124</v>
      </c>
      <c r="F8" s="160"/>
      <c r="G8" s="160"/>
      <c r="H8" s="160"/>
      <c r="I8" s="160"/>
      <c r="J8" s="160"/>
      <c r="K8" s="160"/>
      <c r="L8" s="160"/>
      <c r="M8" s="160"/>
      <c r="N8" s="151" t="s">
        <v>69</v>
      </c>
      <c r="O8" s="152"/>
      <c r="P8" s="152"/>
      <c r="Q8" s="152"/>
      <c r="R8" s="152"/>
      <c r="S8" s="152"/>
      <c r="T8" s="152"/>
      <c r="U8" s="153"/>
    </row>
    <row r="9" spans="1:21" ht="29.15" customHeight="1" x14ac:dyDescent="0.3">
      <c r="A9" s="165" t="s">
        <v>7</v>
      </c>
      <c r="B9" s="167" t="s">
        <v>8</v>
      </c>
      <c r="C9" s="169" t="s">
        <v>30</v>
      </c>
      <c r="D9" s="171" t="s">
        <v>207</v>
      </c>
      <c r="E9" s="171" t="s">
        <v>10</v>
      </c>
      <c r="F9" s="171" t="s">
        <v>33</v>
      </c>
      <c r="G9" s="171" t="s">
        <v>11</v>
      </c>
      <c r="H9" s="171"/>
      <c r="I9" s="171"/>
      <c r="J9" s="171"/>
      <c r="K9" s="171" t="s">
        <v>12</v>
      </c>
      <c r="L9" s="171"/>
      <c r="M9" s="171"/>
      <c r="N9" s="171" t="s">
        <v>13</v>
      </c>
      <c r="O9" s="171"/>
      <c r="P9" s="171"/>
      <c r="Q9" s="171" t="s">
        <v>67</v>
      </c>
      <c r="R9" s="171"/>
      <c r="S9" s="171" t="s">
        <v>323</v>
      </c>
      <c r="T9" s="171"/>
      <c r="U9" s="173" t="s">
        <v>16</v>
      </c>
    </row>
    <row r="10" spans="1:21" ht="32.25" customHeight="1" thickBot="1" x14ac:dyDescent="0.35">
      <c r="A10" s="166"/>
      <c r="B10" s="168"/>
      <c r="C10" s="170"/>
      <c r="D10" s="172"/>
      <c r="E10" s="172"/>
      <c r="F10" s="172"/>
      <c r="G10" s="37" t="s">
        <v>17</v>
      </c>
      <c r="H10" s="37" t="s">
        <v>18</v>
      </c>
      <c r="I10" s="37" t="s">
        <v>19</v>
      </c>
      <c r="J10" s="37" t="s">
        <v>20</v>
      </c>
      <c r="K10" s="120" t="s">
        <v>21</v>
      </c>
      <c r="L10" s="37" t="s">
        <v>31</v>
      </c>
      <c r="M10" s="37" t="s">
        <v>22</v>
      </c>
      <c r="N10" s="39" t="s">
        <v>21</v>
      </c>
      <c r="O10" s="37" t="s">
        <v>23</v>
      </c>
      <c r="P10" s="120" t="s">
        <v>24</v>
      </c>
      <c r="Q10" s="37" t="s">
        <v>32</v>
      </c>
      <c r="R10" s="120" t="s">
        <v>25</v>
      </c>
      <c r="S10" s="37" t="s">
        <v>32</v>
      </c>
      <c r="T10" s="120" t="s">
        <v>25</v>
      </c>
      <c r="U10" s="174"/>
    </row>
    <row r="11" spans="1:21" ht="14" customHeight="1" x14ac:dyDescent="0.3">
      <c r="A11" s="66"/>
      <c r="B11" s="86"/>
      <c r="C11" s="69"/>
      <c r="D11" s="68"/>
      <c r="E11" s="67"/>
      <c r="F11" s="67"/>
      <c r="G11" s="69"/>
      <c r="H11" s="69"/>
      <c r="I11" s="69"/>
      <c r="J11" s="69"/>
      <c r="K11" s="121"/>
      <c r="L11" s="69"/>
      <c r="M11" s="69"/>
      <c r="N11" s="71"/>
      <c r="O11" s="69"/>
      <c r="P11" s="70"/>
      <c r="Q11" s="69" t="s">
        <v>61</v>
      </c>
      <c r="R11" s="70"/>
      <c r="S11" s="69"/>
      <c r="T11" s="70"/>
      <c r="U11" s="72"/>
    </row>
    <row r="12" spans="1:21" s="64" customFormat="1" ht="28" customHeight="1" x14ac:dyDescent="0.25">
      <c r="A12" s="73">
        <v>1</v>
      </c>
      <c r="B12" s="79" t="s">
        <v>211</v>
      </c>
      <c r="C12" s="79" t="s">
        <v>37</v>
      </c>
      <c r="D12" s="73"/>
      <c r="E12" s="73" t="s">
        <v>103</v>
      </c>
      <c r="F12" s="73" t="s">
        <v>328</v>
      </c>
      <c r="G12" s="92">
        <v>48</v>
      </c>
      <c r="H12" s="93">
        <v>36</v>
      </c>
      <c r="I12" s="93">
        <f>ROUND(J12/26*3,0)</f>
        <v>7</v>
      </c>
      <c r="J12" s="93">
        <v>61</v>
      </c>
      <c r="K12" s="122">
        <v>150</v>
      </c>
      <c r="L12" s="93">
        <v>46</v>
      </c>
      <c r="M12" s="94">
        <v>46191</v>
      </c>
      <c r="N12" s="95">
        <f t="shared" ref="N12:N43" si="0">G12-H12</f>
        <v>12</v>
      </c>
      <c r="O12" s="93">
        <f>L12</f>
        <v>46</v>
      </c>
      <c r="P12" s="96">
        <f>N12*O12</f>
        <v>552</v>
      </c>
      <c r="Q12" s="109" t="s">
        <v>44</v>
      </c>
      <c r="R12" s="119"/>
      <c r="S12" s="119"/>
      <c r="T12" s="97"/>
      <c r="U12" s="98"/>
    </row>
    <row r="13" spans="1:21" s="64" customFormat="1" ht="28" customHeight="1" x14ac:dyDescent="0.25">
      <c r="A13" s="73">
        <v>2</v>
      </c>
      <c r="B13" s="79" t="s">
        <v>123</v>
      </c>
      <c r="C13" s="79" t="s">
        <v>41</v>
      </c>
      <c r="D13" s="73"/>
      <c r="E13" s="73" t="s">
        <v>103</v>
      </c>
      <c r="F13" s="73" t="s">
        <v>44</v>
      </c>
      <c r="G13" s="92">
        <v>180</v>
      </c>
      <c r="H13" s="93">
        <v>109</v>
      </c>
      <c r="I13" s="93">
        <f t="shared" ref="I13:I51" si="1">ROUND(J13/26*3,0)</f>
        <v>14</v>
      </c>
      <c r="J13" s="93">
        <v>118</v>
      </c>
      <c r="K13" s="122">
        <v>132</v>
      </c>
      <c r="L13" s="93">
        <v>6.4</v>
      </c>
      <c r="M13" s="94">
        <v>46221</v>
      </c>
      <c r="N13" s="95">
        <f t="shared" si="0"/>
        <v>71</v>
      </c>
      <c r="O13" s="93">
        <f t="shared" ref="O13:O51" si="2">L13</f>
        <v>6.4</v>
      </c>
      <c r="P13" s="96">
        <f t="shared" ref="P13:P51" si="3">N13*O13</f>
        <v>454.40000000000003</v>
      </c>
      <c r="Q13" s="109" t="s">
        <v>44</v>
      </c>
      <c r="R13" s="119"/>
      <c r="S13" s="119"/>
      <c r="T13" s="97"/>
      <c r="U13" s="98"/>
    </row>
    <row r="14" spans="1:21" s="64" customFormat="1" ht="28" customHeight="1" x14ac:dyDescent="0.25">
      <c r="A14" s="73">
        <v>3</v>
      </c>
      <c r="B14" s="79" t="s">
        <v>212</v>
      </c>
      <c r="C14" s="79" t="s">
        <v>37</v>
      </c>
      <c r="D14" s="73"/>
      <c r="E14" s="73" t="s">
        <v>103</v>
      </c>
      <c r="F14" s="73" t="s">
        <v>44</v>
      </c>
      <c r="G14" s="92">
        <v>28</v>
      </c>
      <c r="H14" s="93">
        <v>20</v>
      </c>
      <c r="I14" s="93">
        <f t="shared" si="1"/>
        <v>1</v>
      </c>
      <c r="J14" s="93">
        <v>5</v>
      </c>
      <c r="K14" s="122">
        <v>15</v>
      </c>
      <c r="L14" s="93">
        <v>290</v>
      </c>
      <c r="M14" s="94">
        <v>46193</v>
      </c>
      <c r="N14" s="95">
        <f t="shared" si="0"/>
        <v>8</v>
      </c>
      <c r="O14" s="93">
        <f t="shared" si="2"/>
        <v>290</v>
      </c>
      <c r="P14" s="96">
        <f t="shared" si="3"/>
        <v>2320</v>
      </c>
      <c r="Q14" s="109" t="s">
        <v>352</v>
      </c>
      <c r="R14" s="119"/>
      <c r="S14" s="119"/>
      <c r="T14" s="99"/>
      <c r="U14" s="100"/>
    </row>
    <row r="15" spans="1:21" s="64" customFormat="1" ht="28" customHeight="1" x14ac:dyDescent="0.25">
      <c r="A15" s="73">
        <v>4</v>
      </c>
      <c r="B15" s="79" t="s">
        <v>152</v>
      </c>
      <c r="C15" s="79" t="s">
        <v>37</v>
      </c>
      <c r="D15" s="73"/>
      <c r="E15" s="73" t="s">
        <v>103</v>
      </c>
      <c r="F15" s="73" t="s">
        <v>151</v>
      </c>
      <c r="G15" s="92">
        <v>336</v>
      </c>
      <c r="H15" s="93">
        <v>101</v>
      </c>
      <c r="I15" s="93">
        <f t="shared" si="1"/>
        <v>32</v>
      </c>
      <c r="J15" s="93">
        <v>279</v>
      </c>
      <c r="K15" s="122">
        <v>380</v>
      </c>
      <c r="L15" s="93">
        <v>5</v>
      </c>
      <c r="M15" s="94">
        <v>46222</v>
      </c>
      <c r="N15" s="95">
        <f t="shared" si="0"/>
        <v>235</v>
      </c>
      <c r="O15" s="93">
        <f t="shared" si="2"/>
        <v>5</v>
      </c>
      <c r="P15" s="96">
        <f t="shared" si="3"/>
        <v>1175</v>
      </c>
      <c r="Q15" s="109" t="s">
        <v>352</v>
      </c>
      <c r="R15" s="119"/>
      <c r="S15" s="119"/>
      <c r="T15" s="99"/>
      <c r="U15" s="100"/>
    </row>
    <row r="16" spans="1:21" s="64" customFormat="1" ht="28" customHeight="1" x14ac:dyDescent="0.25">
      <c r="A16" s="73">
        <v>5</v>
      </c>
      <c r="B16" s="79" t="s">
        <v>108</v>
      </c>
      <c r="C16" s="79" t="s">
        <v>37</v>
      </c>
      <c r="D16" s="73"/>
      <c r="E16" s="73" t="s">
        <v>103</v>
      </c>
      <c r="F16" s="73" t="s">
        <v>44</v>
      </c>
      <c r="G16" s="92">
        <v>12</v>
      </c>
      <c r="H16" s="93">
        <v>7</v>
      </c>
      <c r="I16" s="93">
        <f t="shared" si="1"/>
        <v>1</v>
      </c>
      <c r="J16" s="93">
        <v>10</v>
      </c>
      <c r="K16" s="122">
        <v>6</v>
      </c>
      <c r="L16" s="93">
        <v>368</v>
      </c>
      <c r="M16" s="94">
        <v>46222</v>
      </c>
      <c r="N16" s="95">
        <f t="shared" si="0"/>
        <v>5</v>
      </c>
      <c r="O16" s="93">
        <f t="shared" si="2"/>
        <v>368</v>
      </c>
      <c r="P16" s="96">
        <f t="shared" si="3"/>
        <v>1840</v>
      </c>
      <c r="Q16" s="109" t="s">
        <v>353</v>
      </c>
      <c r="R16" s="119"/>
      <c r="S16" s="119"/>
      <c r="T16" s="97"/>
      <c r="U16" s="98"/>
    </row>
    <row r="17" spans="1:21" s="64" customFormat="1" ht="28" customHeight="1" x14ac:dyDescent="0.25">
      <c r="A17" s="73">
        <v>6</v>
      </c>
      <c r="B17" s="79" t="s">
        <v>55</v>
      </c>
      <c r="C17" s="79" t="s">
        <v>37</v>
      </c>
      <c r="D17" s="73"/>
      <c r="E17" s="73" t="s">
        <v>103</v>
      </c>
      <c r="F17" s="73" t="s">
        <v>151</v>
      </c>
      <c r="G17" s="92">
        <v>450</v>
      </c>
      <c r="H17" s="93">
        <v>50</v>
      </c>
      <c r="I17" s="93">
        <f t="shared" si="1"/>
        <v>59</v>
      </c>
      <c r="J17" s="93">
        <v>509</v>
      </c>
      <c r="K17" s="122">
        <v>540</v>
      </c>
      <c r="L17" s="93">
        <v>14.5</v>
      </c>
      <c r="M17" s="94">
        <v>46222</v>
      </c>
      <c r="N17" s="95">
        <f t="shared" si="0"/>
        <v>400</v>
      </c>
      <c r="O17" s="93">
        <f t="shared" si="2"/>
        <v>14.5</v>
      </c>
      <c r="P17" s="96">
        <f t="shared" si="3"/>
        <v>5800</v>
      </c>
      <c r="Q17" s="109" t="s">
        <v>353</v>
      </c>
      <c r="R17" s="119"/>
      <c r="S17" s="119"/>
      <c r="T17" s="97"/>
      <c r="U17" s="98"/>
    </row>
    <row r="18" spans="1:21" s="64" customFormat="1" ht="28" customHeight="1" x14ac:dyDescent="0.25">
      <c r="A18" s="73">
        <v>7</v>
      </c>
      <c r="B18" s="79" t="s">
        <v>47</v>
      </c>
      <c r="C18" s="79" t="s">
        <v>37</v>
      </c>
      <c r="D18" s="73"/>
      <c r="E18" s="73" t="s">
        <v>103</v>
      </c>
      <c r="F18" s="73" t="s">
        <v>311</v>
      </c>
      <c r="G18" s="92">
        <v>144</v>
      </c>
      <c r="H18" s="93">
        <v>74</v>
      </c>
      <c r="I18" s="93">
        <f t="shared" si="1"/>
        <v>25</v>
      </c>
      <c r="J18" s="93">
        <v>213</v>
      </c>
      <c r="K18" s="122">
        <v>161</v>
      </c>
      <c r="L18" s="93">
        <v>13.8</v>
      </c>
      <c r="M18" s="94">
        <v>46222</v>
      </c>
      <c r="N18" s="95">
        <f t="shared" si="0"/>
        <v>70</v>
      </c>
      <c r="O18" s="93">
        <f t="shared" si="2"/>
        <v>13.8</v>
      </c>
      <c r="P18" s="96">
        <f t="shared" si="3"/>
        <v>966</v>
      </c>
      <c r="Q18" s="109" t="s">
        <v>44</v>
      </c>
      <c r="R18" s="119"/>
      <c r="S18" s="119"/>
      <c r="T18" s="97"/>
      <c r="U18" s="98"/>
    </row>
    <row r="19" spans="1:21" s="64" customFormat="1" ht="28" customHeight="1" x14ac:dyDescent="0.25">
      <c r="A19" s="73">
        <v>8</v>
      </c>
      <c r="B19" s="79" t="s">
        <v>93</v>
      </c>
      <c r="C19" s="79" t="s">
        <v>37</v>
      </c>
      <c r="D19" s="73"/>
      <c r="E19" s="73" t="s">
        <v>103</v>
      </c>
      <c r="F19" s="73" t="s">
        <v>151</v>
      </c>
      <c r="G19" s="92">
        <v>560</v>
      </c>
      <c r="H19" s="93">
        <v>372</v>
      </c>
      <c r="I19" s="93">
        <f t="shared" si="1"/>
        <v>34</v>
      </c>
      <c r="J19" s="93">
        <v>293</v>
      </c>
      <c r="K19" s="122">
        <v>336</v>
      </c>
      <c r="L19" s="93">
        <v>35.799999999999997</v>
      </c>
      <c r="M19" s="94">
        <v>46221</v>
      </c>
      <c r="N19" s="95">
        <f t="shared" si="0"/>
        <v>188</v>
      </c>
      <c r="O19" s="93">
        <f t="shared" si="2"/>
        <v>35.799999999999997</v>
      </c>
      <c r="P19" s="96">
        <f t="shared" si="3"/>
        <v>6730.4</v>
      </c>
      <c r="Q19" s="109" t="s">
        <v>44</v>
      </c>
      <c r="R19" s="119"/>
      <c r="S19" s="119"/>
      <c r="T19" s="97"/>
      <c r="U19" s="98"/>
    </row>
    <row r="20" spans="1:21" s="64" customFormat="1" ht="28" customHeight="1" x14ac:dyDescent="0.25">
      <c r="A20" s="73">
        <v>9</v>
      </c>
      <c r="B20" s="79" t="s">
        <v>92</v>
      </c>
      <c r="C20" s="79" t="s">
        <v>37</v>
      </c>
      <c r="D20" s="73"/>
      <c r="E20" s="73" t="s">
        <v>103</v>
      </c>
      <c r="F20" s="73" t="s">
        <v>312</v>
      </c>
      <c r="G20" s="92">
        <v>250</v>
      </c>
      <c r="H20" s="93">
        <v>105</v>
      </c>
      <c r="I20" s="93">
        <f t="shared" si="1"/>
        <v>25</v>
      </c>
      <c r="J20" s="93">
        <v>217</v>
      </c>
      <c r="K20" s="122">
        <v>130</v>
      </c>
      <c r="L20" s="93">
        <v>16</v>
      </c>
      <c r="M20" s="94">
        <v>46229</v>
      </c>
      <c r="N20" s="95">
        <f t="shared" si="0"/>
        <v>145</v>
      </c>
      <c r="O20" s="93">
        <f t="shared" si="2"/>
        <v>16</v>
      </c>
      <c r="P20" s="96">
        <f t="shared" si="3"/>
        <v>2320</v>
      </c>
      <c r="Q20" s="109" t="s">
        <v>352</v>
      </c>
      <c r="R20" s="119"/>
      <c r="S20" s="119"/>
      <c r="T20" s="99"/>
      <c r="U20" s="100"/>
    </row>
    <row r="21" spans="1:21" s="64" customFormat="1" ht="28" customHeight="1" x14ac:dyDescent="0.25">
      <c r="A21" s="73">
        <v>10</v>
      </c>
      <c r="B21" s="79" t="s">
        <v>213</v>
      </c>
      <c r="C21" s="79" t="s">
        <v>37</v>
      </c>
      <c r="D21" s="73"/>
      <c r="E21" s="73" t="s">
        <v>103</v>
      </c>
      <c r="F21" s="73" t="s">
        <v>44</v>
      </c>
      <c r="G21" s="101">
        <v>300</v>
      </c>
      <c r="H21" s="93">
        <v>110</v>
      </c>
      <c r="I21" s="93">
        <f t="shared" si="1"/>
        <v>24</v>
      </c>
      <c r="J21" s="93">
        <v>206</v>
      </c>
      <c r="K21" s="122">
        <v>186</v>
      </c>
      <c r="L21" s="93">
        <v>16</v>
      </c>
      <c r="M21" s="94">
        <v>46203</v>
      </c>
      <c r="N21" s="95">
        <f t="shared" si="0"/>
        <v>190</v>
      </c>
      <c r="O21" s="93">
        <f t="shared" si="2"/>
        <v>16</v>
      </c>
      <c r="P21" s="96">
        <f t="shared" si="3"/>
        <v>3040</v>
      </c>
      <c r="Q21" s="109" t="s">
        <v>353</v>
      </c>
      <c r="R21" s="119"/>
      <c r="S21" s="119"/>
      <c r="T21" s="97"/>
      <c r="U21" s="98"/>
    </row>
    <row r="22" spans="1:21" s="64" customFormat="1" ht="28" customHeight="1" x14ac:dyDescent="0.25">
      <c r="A22" s="73">
        <v>11</v>
      </c>
      <c r="B22" s="79" t="s">
        <v>214</v>
      </c>
      <c r="C22" s="79" t="s">
        <v>37</v>
      </c>
      <c r="D22" s="73"/>
      <c r="E22" s="73" t="s">
        <v>103</v>
      </c>
      <c r="F22" s="73" t="s">
        <v>44</v>
      </c>
      <c r="G22" s="101">
        <v>100</v>
      </c>
      <c r="H22" s="93">
        <v>59</v>
      </c>
      <c r="I22" s="93">
        <f t="shared" si="1"/>
        <v>7</v>
      </c>
      <c r="J22" s="93">
        <v>60</v>
      </c>
      <c r="K22" s="122">
        <v>350</v>
      </c>
      <c r="L22" s="93">
        <v>18</v>
      </c>
      <c r="M22" s="94">
        <v>46079</v>
      </c>
      <c r="N22" s="95">
        <f t="shared" si="0"/>
        <v>41</v>
      </c>
      <c r="O22" s="93">
        <f t="shared" si="2"/>
        <v>18</v>
      </c>
      <c r="P22" s="96">
        <f t="shared" si="3"/>
        <v>738</v>
      </c>
      <c r="Q22" s="109" t="s">
        <v>353</v>
      </c>
      <c r="R22" s="119"/>
      <c r="S22" s="119"/>
      <c r="T22" s="97"/>
      <c r="U22" s="98"/>
    </row>
    <row r="23" spans="1:21" s="64" customFormat="1" ht="28" customHeight="1" x14ac:dyDescent="0.25">
      <c r="A23" s="73">
        <v>12</v>
      </c>
      <c r="B23" s="79" t="s">
        <v>153</v>
      </c>
      <c r="C23" s="79" t="s">
        <v>37</v>
      </c>
      <c r="D23" s="73"/>
      <c r="E23" s="73" t="s">
        <v>103</v>
      </c>
      <c r="F23" s="73" t="s">
        <v>151</v>
      </c>
      <c r="G23" s="101">
        <v>150</v>
      </c>
      <c r="H23" s="93">
        <v>103</v>
      </c>
      <c r="I23" s="93">
        <f t="shared" si="1"/>
        <v>17</v>
      </c>
      <c r="J23" s="93">
        <v>144</v>
      </c>
      <c r="K23" s="122">
        <v>75</v>
      </c>
      <c r="L23" s="93">
        <v>17</v>
      </c>
      <c r="M23" s="94">
        <v>46221</v>
      </c>
      <c r="N23" s="95">
        <f t="shared" si="0"/>
        <v>47</v>
      </c>
      <c r="O23" s="93">
        <f t="shared" si="2"/>
        <v>17</v>
      </c>
      <c r="P23" s="96">
        <f t="shared" si="3"/>
        <v>799</v>
      </c>
      <c r="Q23" s="109" t="s">
        <v>352</v>
      </c>
      <c r="R23" s="119"/>
      <c r="S23" s="119"/>
      <c r="T23" s="97"/>
      <c r="U23" s="98"/>
    </row>
    <row r="24" spans="1:21" s="64" customFormat="1" ht="28" customHeight="1" x14ac:dyDescent="0.25">
      <c r="A24" s="73">
        <v>13</v>
      </c>
      <c r="B24" s="79" t="s">
        <v>188</v>
      </c>
      <c r="C24" s="79" t="s">
        <v>37</v>
      </c>
      <c r="D24" s="73"/>
      <c r="E24" s="73" t="s">
        <v>103</v>
      </c>
      <c r="F24" s="73" t="s">
        <v>44</v>
      </c>
      <c r="G24" s="101">
        <v>5</v>
      </c>
      <c r="H24" s="93">
        <v>3</v>
      </c>
      <c r="I24" s="93">
        <f t="shared" si="1"/>
        <v>1</v>
      </c>
      <c r="J24" s="93">
        <v>5</v>
      </c>
      <c r="K24" s="122">
        <v>4</v>
      </c>
      <c r="L24" s="93">
        <v>75</v>
      </c>
      <c r="M24" s="94">
        <v>46221</v>
      </c>
      <c r="N24" s="95">
        <f t="shared" si="0"/>
        <v>2</v>
      </c>
      <c r="O24" s="93">
        <f t="shared" si="2"/>
        <v>75</v>
      </c>
      <c r="P24" s="96">
        <f t="shared" si="3"/>
        <v>150</v>
      </c>
      <c r="Q24" s="109" t="s">
        <v>353</v>
      </c>
      <c r="R24" s="119"/>
      <c r="S24" s="119"/>
      <c r="T24" s="97"/>
      <c r="U24" s="98"/>
    </row>
    <row r="25" spans="1:21" s="64" customFormat="1" ht="28" customHeight="1" x14ac:dyDescent="0.25">
      <c r="A25" s="73">
        <v>14</v>
      </c>
      <c r="B25" s="74" t="s">
        <v>131</v>
      </c>
      <c r="C25" s="82" t="s">
        <v>37</v>
      </c>
      <c r="D25" s="73"/>
      <c r="E25" s="73" t="s">
        <v>103</v>
      </c>
      <c r="F25" s="73" t="s">
        <v>44</v>
      </c>
      <c r="G25" s="101">
        <v>48</v>
      </c>
      <c r="H25" s="93">
        <v>28</v>
      </c>
      <c r="I25" s="93">
        <f t="shared" si="1"/>
        <v>4</v>
      </c>
      <c r="J25" s="93">
        <v>38</v>
      </c>
      <c r="K25" s="122">
        <v>22</v>
      </c>
      <c r="L25" s="93">
        <v>70</v>
      </c>
      <c r="M25" s="94">
        <v>46222</v>
      </c>
      <c r="N25" s="95">
        <f t="shared" si="0"/>
        <v>20</v>
      </c>
      <c r="O25" s="93">
        <f t="shared" si="2"/>
        <v>70</v>
      </c>
      <c r="P25" s="96">
        <f t="shared" si="3"/>
        <v>1400</v>
      </c>
      <c r="Q25" s="109" t="s">
        <v>353</v>
      </c>
      <c r="R25" s="119"/>
      <c r="S25" s="119"/>
      <c r="T25" s="97"/>
      <c r="U25" s="98"/>
    </row>
    <row r="26" spans="1:21" s="64" customFormat="1" ht="28" customHeight="1" x14ac:dyDescent="0.25">
      <c r="A26" s="73">
        <v>15</v>
      </c>
      <c r="B26" s="79" t="s">
        <v>215</v>
      </c>
      <c r="C26" s="79" t="s">
        <v>37</v>
      </c>
      <c r="D26" s="73"/>
      <c r="E26" s="73" t="s">
        <v>103</v>
      </c>
      <c r="F26" s="73" t="s">
        <v>311</v>
      </c>
      <c r="G26" s="101">
        <v>1300</v>
      </c>
      <c r="H26" s="93">
        <v>170</v>
      </c>
      <c r="I26" s="93">
        <f t="shared" si="1"/>
        <v>115</v>
      </c>
      <c r="J26" s="93">
        <v>1000</v>
      </c>
      <c r="K26" s="122">
        <v>1400</v>
      </c>
      <c r="L26" s="93">
        <v>15</v>
      </c>
      <c r="M26" s="94">
        <v>46193</v>
      </c>
      <c r="N26" s="95">
        <f t="shared" si="0"/>
        <v>1130</v>
      </c>
      <c r="O26" s="93">
        <f t="shared" si="2"/>
        <v>15</v>
      </c>
      <c r="P26" s="96">
        <f t="shared" si="3"/>
        <v>16950</v>
      </c>
      <c r="Q26" s="109" t="s">
        <v>44</v>
      </c>
      <c r="R26" s="119"/>
      <c r="S26" s="119"/>
      <c r="T26" s="97"/>
      <c r="U26" s="98"/>
    </row>
    <row r="27" spans="1:21" s="64" customFormat="1" ht="28" customHeight="1" x14ac:dyDescent="0.25">
      <c r="A27" s="73">
        <v>16</v>
      </c>
      <c r="B27" s="79" t="s">
        <v>216</v>
      </c>
      <c r="C27" s="79" t="s">
        <v>37</v>
      </c>
      <c r="D27" s="73"/>
      <c r="E27" s="73" t="s">
        <v>103</v>
      </c>
      <c r="F27" s="73" t="s">
        <v>44</v>
      </c>
      <c r="G27" s="101">
        <v>60</v>
      </c>
      <c r="H27" s="93">
        <v>36</v>
      </c>
      <c r="I27" s="93">
        <f t="shared" si="1"/>
        <v>1</v>
      </c>
      <c r="J27" s="93">
        <v>12</v>
      </c>
      <c r="K27" s="122">
        <v>9</v>
      </c>
      <c r="L27" s="93">
        <v>600</v>
      </c>
      <c r="M27" s="94">
        <v>46153</v>
      </c>
      <c r="N27" s="95">
        <f t="shared" si="0"/>
        <v>24</v>
      </c>
      <c r="O27" s="93">
        <f t="shared" si="2"/>
        <v>600</v>
      </c>
      <c r="P27" s="96">
        <f t="shared" si="3"/>
        <v>14400</v>
      </c>
      <c r="Q27" s="109" t="s">
        <v>44</v>
      </c>
      <c r="R27" s="119"/>
      <c r="S27" s="119"/>
      <c r="T27" s="97"/>
      <c r="U27" s="98"/>
    </row>
    <row r="28" spans="1:21" s="64" customFormat="1" ht="28" customHeight="1" x14ac:dyDescent="0.25">
      <c r="A28" s="73">
        <v>17</v>
      </c>
      <c r="B28" s="79" t="s">
        <v>154</v>
      </c>
      <c r="C28" s="79" t="s">
        <v>37</v>
      </c>
      <c r="D28" s="73"/>
      <c r="E28" s="73" t="s">
        <v>103</v>
      </c>
      <c r="F28" s="73" t="s">
        <v>151</v>
      </c>
      <c r="G28" s="107">
        <v>160</v>
      </c>
      <c r="H28" s="93">
        <v>92</v>
      </c>
      <c r="I28" s="93">
        <f t="shared" si="1"/>
        <v>13</v>
      </c>
      <c r="J28" s="93">
        <v>115</v>
      </c>
      <c r="K28" s="122">
        <v>163</v>
      </c>
      <c r="L28" s="93">
        <v>5</v>
      </c>
      <c r="M28" s="94">
        <v>46221</v>
      </c>
      <c r="N28" s="95">
        <f t="shared" si="0"/>
        <v>68</v>
      </c>
      <c r="O28" s="93">
        <f t="shared" si="2"/>
        <v>5</v>
      </c>
      <c r="P28" s="96">
        <f t="shared" si="3"/>
        <v>340</v>
      </c>
      <c r="Q28" s="109" t="s">
        <v>352</v>
      </c>
      <c r="R28" s="119"/>
      <c r="S28" s="119"/>
      <c r="T28" s="97"/>
      <c r="U28" s="98"/>
    </row>
    <row r="29" spans="1:21" s="64" customFormat="1" ht="28" customHeight="1" x14ac:dyDescent="0.25">
      <c r="A29" s="73">
        <v>18</v>
      </c>
      <c r="B29" s="79" t="s">
        <v>106</v>
      </c>
      <c r="C29" s="79" t="s">
        <v>37</v>
      </c>
      <c r="D29" s="73"/>
      <c r="E29" s="73" t="s">
        <v>103</v>
      </c>
      <c r="F29" s="73" t="s">
        <v>151</v>
      </c>
      <c r="G29" s="107">
        <v>72</v>
      </c>
      <c r="H29" s="93">
        <v>39</v>
      </c>
      <c r="I29" s="93">
        <f t="shared" si="1"/>
        <v>6</v>
      </c>
      <c r="J29" s="93">
        <v>51</v>
      </c>
      <c r="K29" s="122">
        <v>60</v>
      </c>
      <c r="L29" s="93">
        <v>5</v>
      </c>
      <c r="M29" s="94">
        <v>46222</v>
      </c>
      <c r="N29" s="95">
        <f t="shared" si="0"/>
        <v>33</v>
      </c>
      <c r="O29" s="93">
        <f t="shared" si="2"/>
        <v>5</v>
      </c>
      <c r="P29" s="96">
        <f t="shared" si="3"/>
        <v>165</v>
      </c>
      <c r="Q29" s="109" t="s">
        <v>352</v>
      </c>
      <c r="R29" s="119"/>
      <c r="S29" s="119"/>
      <c r="T29" s="97"/>
      <c r="U29" s="98"/>
    </row>
    <row r="30" spans="1:21" s="64" customFormat="1" ht="28" customHeight="1" x14ac:dyDescent="0.25">
      <c r="A30" s="73">
        <v>19</v>
      </c>
      <c r="B30" s="79" t="s">
        <v>217</v>
      </c>
      <c r="C30" s="79" t="s">
        <v>37</v>
      </c>
      <c r="D30" s="73"/>
      <c r="E30" s="73" t="s">
        <v>103</v>
      </c>
      <c r="F30" s="73" t="s">
        <v>44</v>
      </c>
      <c r="G30" s="107">
        <v>5000</v>
      </c>
      <c r="H30" s="93">
        <v>0</v>
      </c>
      <c r="I30" s="93">
        <f t="shared" si="1"/>
        <v>0</v>
      </c>
      <c r="J30" s="93">
        <v>0</v>
      </c>
      <c r="K30" s="122">
        <v>0</v>
      </c>
      <c r="L30" s="93">
        <v>0</v>
      </c>
      <c r="M30" s="94">
        <v>0</v>
      </c>
      <c r="N30" s="95">
        <f t="shared" si="0"/>
        <v>5000</v>
      </c>
      <c r="O30" s="93">
        <f t="shared" si="2"/>
        <v>0</v>
      </c>
      <c r="P30" s="96">
        <f t="shared" si="3"/>
        <v>0</v>
      </c>
      <c r="Q30" s="109" t="s">
        <v>44</v>
      </c>
      <c r="R30" s="119"/>
      <c r="S30" s="119"/>
      <c r="T30" s="97"/>
      <c r="U30" s="98"/>
    </row>
    <row r="31" spans="1:21" s="64" customFormat="1" ht="28" customHeight="1" x14ac:dyDescent="0.25">
      <c r="A31" s="73">
        <v>20</v>
      </c>
      <c r="B31" s="79" t="s">
        <v>218</v>
      </c>
      <c r="C31" s="79" t="s">
        <v>37</v>
      </c>
      <c r="D31" s="73"/>
      <c r="E31" s="73" t="s">
        <v>103</v>
      </c>
      <c r="F31" s="73" t="s">
        <v>44</v>
      </c>
      <c r="G31" s="107">
        <v>1200</v>
      </c>
      <c r="H31" s="93">
        <v>0</v>
      </c>
      <c r="I31" s="93">
        <f t="shared" si="1"/>
        <v>0</v>
      </c>
      <c r="J31" s="93">
        <v>0</v>
      </c>
      <c r="K31" s="122">
        <v>0</v>
      </c>
      <c r="L31" s="93">
        <v>0</v>
      </c>
      <c r="M31" s="94">
        <v>0</v>
      </c>
      <c r="N31" s="95">
        <f t="shared" si="0"/>
        <v>1200</v>
      </c>
      <c r="O31" s="93">
        <f t="shared" si="2"/>
        <v>0</v>
      </c>
      <c r="P31" s="96">
        <f t="shared" si="3"/>
        <v>0</v>
      </c>
      <c r="Q31" s="109" t="s">
        <v>44</v>
      </c>
      <c r="R31" s="119"/>
      <c r="S31" s="119"/>
      <c r="T31" s="97"/>
      <c r="U31" s="98"/>
    </row>
    <row r="32" spans="1:21" s="64" customFormat="1" ht="28" customHeight="1" x14ac:dyDescent="0.25">
      <c r="A32" s="73">
        <v>21</v>
      </c>
      <c r="B32" s="79" t="s">
        <v>74</v>
      </c>
      <c r="C32" s="79" t="s">
        <v>37</v>
      </c>
      <c r="D32" s="73"/>
      <c r="E32" s="73" t="s">
        <v>103</v>
      </c>
      <c r="F32" s="73" t="s">
        <v>327</v>
      </c>
      <c r="G32" s="107">
        <v>6</v>
      </c>
      <c r="H32" s="93">
        <v>0</v>
      </c>
      <c r="I32" s="93">
        <f t="shared" si="1"/>
        <v>1</v>
      </c>
      <c r="J32" s="93">
        <v>9</v>
      </c>
      <c r="K32" s="122">
        <v>4</v>
      </c>
      <c r="L32" s="93">
        <v>390</v>
      </c>
      <c r="M32" s="94">
        <v>46222</v>
      </c>
      <c r="N32" s="95">
        <f t="shared" si="0"/>
        <v>6</v>
      </c>
      <c r="O32" s="93">
        <f t="shared" si="2"/>
        <v>390</v>
      </c>
      <c r="P32" s="96">
        <f t="shared" si="3"/>
        <v>2340</v>
      </c>
      <c r="Q32" s="109" t="s">
        <v>352</v>
      </c>
      <c r="R32" s="119"/>
      <c r="S32" s="119"/>
      <c r="T32" s="99"/>
      <c r="U32" s="100"/>
    </row>
    <row r="33" spans="1:21" s="64" customFormat="1" ht="28" customHeight="1" x14ac:dyDescent="0.25">
      <c r="A33" s="73">
        <v>22</v>
      </c>
      <c r="B33" s="79" t="s">
        <v>191</v>
      </c>
      <c r="C33" s="79" t="s">
        <v>37</v>
      </c>
      <c r="D33" s="73"/>
      <c r="E33" s="73" t="s">
        <v>103</v>
      </c>
      <c r="F33" s="73" t="s">
        <v>44</v>
      </c>
      <c r="G33" s="107">
        <v>2</v>
      </c>
      <c r="H33" s="93">
        <v>0</v>
      </c>
      <c r="I33" s="93">
        <f t="shared" si="1"/>
        <v>0</v>
      </c>
      <c r="J33" s="93">
        <v>0</v>
      </c>
      <c r="K33" s="122">
        <v>0</v>
      </c>
      <c r="L33" s="93">
        <v>0</v>
      </c>
      <c r="M33" s="94">
        <v>0</v>
      </c>
      <c r="N33" s="95">
        <f t="shared" si="0"/>
        <v>2</v>
      </c>
      <c r="O33" s="93">
        <f t="shared" si="2"/>
        <v>0</v>
      </c>
      <c r="P33" s="96">
        <f t="shared" si="3"/>
        <v>0</v>
      </c>
      <c r="Q33" s="109" t="s">
        <v>44</v>
      </c>
      <c r="R33" s="119"/>
      <c r="S33" s="119"/>
      <c r="T33" s="97"/>
      <c r="U33" s="98"/>
    </row>
    <row r="34" spans="1:21" s="64" customFormat="1" ht="28" customHeight="1" x14ac:dyDescent="0.25">
      <c r="A34" s="73">
        <v>23</v>
      </c>
      <c r="B34" s="79" t="s">
        <v>219</v>
      </c>
      <c r="C34" s="79" t="s">
        <v>37</v>
      </c>
      <c r="D34" s="73"/>
      <c r="E34" s="73" t="s">
        <v>103</v>
      </c>
      <c r="F34" s="73" t="s">
        <v>44</v>
      </c>
      <c r="G34" s="107">
        <v>2</v>
      </c>
      <c r="H34" s="93">
        <v>0</v>
      </c>
      <c r="I34" s="93">
        <f t="shared" si="1"/>
        <v>0</v>
      </c>
      <c r="J34" s="93">
        <v>0</v>
      </c>
      <c r="K34" s="122">
        <v>0</v>
      </c>
      <c r="L34" s="93">
        <v>0</v>
      </c>
      <c r="M34" s="94">
        <v>0</v>
      </c>
      <c r="N34" s="95">
        <f t="shared" si="0"/>
        <v>2</v>
      </c>
      <c r="O34" s="93">
        <f t="shared" si="2"/>
        <v>0</v>
      </c>
      <c r="P34" s="96">
        <f t="shared" si="3"/>
        <v>0</v>
      </c>
      <c r="Q34" s="109" t="s">
        <v>44</v>
      </c>
      <c r="R34" s="119"/>
      <c r="S34" s="119"/>
      <c r="T34" s="97"/>
      <c r="U34" s="98"/>
    </row>
    <row r="35" spans="1:21" s="64" customFormat="1" ht="28" customHeight="1" x14ac:dyDescent="0.25">
      <c r="A35" s="73">
        <v>24</v>
      </c>
      <c r="B35" s="79" t="s">
        <v>189</v>
      </c>
      <c r="C35" s="79" t="s">
        <v>43</v>
      </c>
      <c r="D35" s="73"/>
      <c r="E35" s="73" t="s">
        <v>103</v>
      </c>
      <c r="F35" s="73" t="s">
        <v>44</v>
      </c>
      <c r="G35" s="107">
        <v>20</v>
      </c>
      <c r="H35" s="93">
        <v>0</v>
      </c>
      <c r="I35" s="93">
        <f t="shared" si="1"/>
        <v>0</v>
      </c>
      <c r="J35" s="93">
        <v>0</v>
      </c>
      <c r="K35" s="122">
        <v>2.2999999999999998</v>
      </c>
      <c r="L35" s="93">
        <v>478.26</v>
      </c>
      <c r="M35" s="94">
        <v>46193</v>
      </c>
      <c r="N35" s="95">
        <f t="shared" si="0"/>
        <v>20</v>
      </c>
      <c r="O35" s="93">
        <f t="shared" si="2"/>
        <v>478.26</v>
      </c>
      <c r="P35" s="96">
        <f t="shared" si="3"/>
        <v>9565.2000000000007</v>
      </c>
      <c r="Q35" s="109" t="s">
        <v>44</v>
      </c>
      <c r="R35" s="119"/>
      <c r="S35" s="119"/>
      <c r="T35" s="97"/>
      <c r="U35" s="98"/>
    </row>
    <row r="36" spans="1:21" s="64" customFormat="1" ht="28" customHeight="1" x14ac:dyDescent="0.25">
      <c r="A36" s="73">
        <v>25</v>
      </c>
      <c r="B36" s="79" t="s">
        <v>190</v>
      </c>
      <c r="C36" s="79" t="s">
        <v>43</v>
      </c>
      <c r="D36" s="73"/>
      <c r="E36" s="73" t="s">
        <v>103</v>
      </c>
      <c r="F36" s="73" t="s">
        <v>44</v>
      </c>
      <c r="G36" s="107">
        <v>20</v>
      </c>
      <c r="H36" s="93">
        <v>0</v>
      </c>
      <c r="I36" s="93">
        <f t="shared" si="1"/>
        <v>0</v>
      </c>
      <c r="J36" s="93">
        <v>0</v>
      </c>
      <c r="K36" s="122">
        <v>33.75</v>
      </c>
      <c r="L36" s="93">
        <v>355.55</v>
      </c>
      <c r="M36" s="94">
        <v>46163</v>
      </c>
      <c r="N36" s="95">
        <f t="shared" si="0"/>
        <v>20</v>
      </c>
      <c r="O36" s="93">
        <f t="shared" si="2"/>
        <v>355.55</v>
      </c>
      <c r="P36" s="96">
        <f t="shared" si="3"/>
        <v>7111</v>
      </c>
      <c r="Q36" s="109" t="s">
        <v>44</v>
      </c>
      <c r="R36" s="119"/>
      <c r="S36" s="119"/>
      <c r="T36" s="97"/>
      <c r="U36" s="98"/>
    </row>
    <row r="37" spans="1:21" s="64" customFormat="1" ht="28" customHeight="1" x14ac:dyDescent="0.25">
      <c r="A37" s="73">
        <v>26</v>
      </c>
      <c r="B37" s="73" t="s">
        <v>38</v>
      </c>
      <c r="C37" s="83" t="s">
        <v>39</v>
      </c>
      <c r="D37" s="73"/>
      <c r="E37" s="73" t="s">
        <v>103</v>
      </c>
      <c r="F37" s="73" t="s">
        <v>151</v>
      </c>
      <c r="G37" s="108">
        <v>102</v>
      </c>
      <c r="H37" s="93">
        <v>61</v>
      </c>
      <c r="I37" s="93">
        <f t="shared" si="1"/>
        <v>10</v>
      </c>
      <c r="J37" s="93">
        <v>86</v>
      </c>
      <c r="K37" s="122">
        <v>123</v>
      </c>
      <c r="L37" s="93">
        <v>430</v>
      </c>
      <c r="M37" s="94">
        <v>46222</v>
      </c>
      <c r="N37" s="95">
        <f t="shared" si="0"/>
        <v>41</v>
      </c>
      <c r="O37" s="93">
        <f t="shared" si="2"/>
        <v>430</v>
      </c>
      <c r="P37" s="96">
        <f t="shared" si="3"/>
        <v>17630</v>
      </c>
      <c r="Q37" s="109" t="s">
        <v>352</v>
      </c>
      <c r="R37" s="119"/>
      <c r="S37" s="119"/>
      <c r="T37" s="97"/>
      <c r="U37" s="98"/>
    </row>
    <row r="38" spans="1:21" s="64" customFormat="1" ht="28" customHeight="1" x14ac:dyDescent="0.25">
      <c r="A38" s="73">
        <v>27</v>
      </c>
      <c r="B38" s="79" t="s">
        <v>132</v>
      </c>
      <c r="C38" s="79" t="s">
        <v>37</v>
      </c>
      <c r="D38" s="73"/>
      <c r="E38" s="73" t="s">
        <v>103</v>
      </c>
      <c r="F38" s="73" t="s">
        <v>313</v>
      </c>
      <c r="G38" s="108">
        <v>24</v>
      </c>
      <c r="H38" s="93">
        <v>10</v>
      </c>
      <c r="I38" s="93">
        <f t="shared" si="1"/>
        <v>2</v>
      </c>
      <c r="J38" s="93">
        <v>14</v>
      </c>
      <c r="K38" s="122">
        <v>3</v>
      </c>
      <c r="L38" s="93">
        <v>10</v>
      </c>
      <c r="M38" s="94">
        <v>46221</v>
      </c>
      <c r="N38" s="95">
        <f t="shared" si="0"/>
        <v>14</v>
      </c>
      <c r="O38" s="93">
        <f t="shared" si="2"/>
        <v>10</v>
      </c>
      <c r="P38" s="96">
        <f t="shared" si="3"/>
        <v>140</v>
      </c>
      <c r="Q38" s="109" t="s">
        <v>352</v>
      </c>
      <c r="R38" s="119"/>
      <c r="S38" s="119"/>
      <c r="T38" s="97"/>
      <c r="U38" s="98"/>
    </row>
    <row r="39" spans="1:21" s="64" customFormat="1" ht="28" customHeight="1" x14ac:dyDescent="0.25">
      <c r="A39" s="73">
        <v>28</v>
      </c>
      <c r="B39" s="79" t="s">
        <v>329</v>
      </c>
      <c r="C39" s="83" t="s">
        <v>37</v>
      </c>
      <c r="D39" s="73"/>
      <c r="E39" s="73" t="s">
        <v>103</v>
      </c>
      <c r="F39" s="73" t="s">
        <v>44</v>
      </c>
      <c r="G39" s="108">
        <v>2</v>
      </c>
      <c r="H39" s="93">
        <v>0</v>
      </c>
      <c r="I39" s="93">
        <f t="shared" si="1"/>
        <v>0</v>
      </c>
      <c r="J39" s="93">
        <v>0</v>
      </c>
      <c r="K39" s="122">
        <v>0</v>
      </c>
      <c r="L39" s="93">
        <v>0</v>
      </c>
      <c r="M39" s="94">
        <v>0</v>
      </c>
      <c r="N39" s="95">
        <f t="shared" si="0"/>
        <v>2</v>
      </c>
      <c r="O39" s="93">
        <f t="shared" si="2"/>
        <v>0</v>
      </c>
      <c r="P39" s="96">
        <f t="shared" si="3"/>
        <v>0</v>
      </c>
      <c r="Q39" s="109" t="s">
        <v>353</v>
      </c>
      <c r="R39" s="119"/>
      <c r="S39" s="119"/>
      <c r="T39" s="97"/>
      <c r="U39" s="98"/>
    </row>
    <row r="40" spans="1:21" s="64" customFormat="1" ht="28" customHeight="1" x14ac:dyDescent="0.25">
      <c r="A40" s="73">
        <v>29</v>
      </c>
      <c r="B40" s="73" t="s">
        <v>220</v>
      </c>
      <c r="C40" s="79" t="s">
        <v>43</v>
      </c>
      <c r="D40" s="73"/>
      <c r="E40" s="73" t="s">
        <v>103</v>
      </c>
      <c r="F40" s="73" t="s">
        <v>235</v>
      </c>
      <c r="G40" s="108">
        <v>1500</v>
      </c>
      <c r="H40" s="93">
        <v>856.7</v>
      </c>
      <c r="I40" s="93">
        <f t="shared" si="1"/>
        <v>33</v>
      </c>
      <c r="J40" s="93">
        <v>288.5</v>
      </c>
      <c r="K40" s="122">
        <v>522.29999999999995</v>
      </c>
      <c r="L40" s="93">
        <v>100</v>
      </c>
      <c r="M40" s="94">
        <v>46198</v>
      </c>
      <c r="N40" s="95">
        <f t="shared" si="0"/>
        <v>643.29999999999995</v>
      </c>
      <c r="O40" s="93">
        <f t="shared" si="2"/>
        <v>100</v>
      </c>
      <c r="P40" s="96">
        <f t="shared" si="3"/>
        <v>64329.999999999993</v>
      </c>
      <c r="Q40" s="109" t="s">
        <v>44</v>
      </c>
      <c r="R40" s="119"/>
      <c r="S40" s="119"/>
      <c r="T40" s="97"/>
      <c r="U40" s="98"/>
    </row>
    <row r="41" spans="1:21" s="64" customFormat="1" ht="28" customHeight="1" x14ac:dyDescent="0.25">
      <c r="A41" s="73">
        <v>30</v>
      </c>
      <c r="B41" s="73" t="s">
        <v>221</v>
      </c>
      <c r="C41" s="79" t="s">
        <v>43</v>
      </c>
      <c r="D41" s="73"/>
      <c r="E41" s="73" t="s">
        <v>103</v>
      </c>
      <c r="F41" s="73" t="s">
        <v>330</v>
      </c>
      <c r="G41" s="108">
        <v>2000</v>
      </c>
      <c r="H41" s="93">
        <v>804.09999999999991</v>
      </c>
      <c r="I41" s="93">
        <f t="shared" si="1"/>
        <v>73</v>
      </c>
      <c r="J41" s="93">
        <v>635</v>
      </c>
      <c r="K41" s="122">
        <v>904.7</v>
      </c>
      <c r="L41" s="93">
        <v>68</v>
      </c>
      <c r="M41" s="94">
        <v>46198</v>
      </c>
      <c r="N41" s="95">
        <f t="shared" si="0"/>
        <v>1195.9000000000001</v>
      </c>
      <c r="O41" s="93">
        <f t="shared" si="2"/>
        <v>68</v>
      </c>
      <c r="P41" s="96">
        <f t="shared" si="3"/>
        <v>81321.200000000012</v>
      </c>
      <c r="Q41" s="109" t="s">
        <v>44</v>
      </c>
      <c r="R41" s="119"/>
      <c r="S41" s="119"/>
      <c r="T41" s="97"/>
      <c r="U41" s="98"/>
    </row>
    <row r="42" spans="1:21" s="64" customFormat="1" ht="28" customHeight="1" x14ac:dyDescent="0.25">
      <c r="A42" s="73">
        <v>31</v>
      </c>
      <c r="B42" s="79" t="s">
        <v>222</v>
      </c>
      <c r="C42" s="79" t="s">
        <v>37</v>
      </c>
      <c r="D42" s="73"/>
      <c r="E42" s="73" t="s">
        <v>103</v>
      </c>
      <c r="F42" s="73" t="s">
        <v>331</v>
      </c>
      <c r="G42" s="103">
        <v>16</v>
      </c>
      <c r="H42" s="93">
        <v>0</v>
      </c>
      <c r="I42" s="93">
        <f t="shared" si="1"/>
        <v>0</v>
      </c>
      <c r="J42" s="93">
        <v>0</v>
      </c>
      <c r="K42" s="122">
        <v>6</v>
      </c>
      <c r="L42" s="93">
        <v>4.8499999999999996</v>
      </c>
      <c r="M42" s="94">
        <v>46153</v>
      </c>
      <c r="N42" s="95">
        <f t="shared" si="0"/>
        <v>16</v>
      </c>
      <c r="O42" s="93">
        <f t="shared" si="2"/>
        <v>4.8499999999999996</v>
      </c>
      <c r="P42" s="96">
        <f t="shared" si="3"/>
        <v>77.599999999999994</v>
      </c>
      <c r="Q42" s="109" t="s">
        <v>352</v>
      </c>
      <c r="R42" s="119"/>
      <c r="S42" s="119"/>
      <c r="T42" s="97"/>
      <c r="U42" s="98"/>
    </row>
    <row r="43" spans="1:21" s="114" customFormat="1" ht="28" customHeight="1" x14ac:dyDescent="0.25">
      <c r="A43" s="73">
        <v>32</v>
      </c>
      <c r="B43" s="81" t="s">
        <v>51</v>
      </c>
      <c r="C43" s="81" t="s">
        <v>37</v>
      </c>
      <c r="D43" s="110"/>
      <c r="E43" s="73" t="s">
        <v>103</v>
      </c>
      <c r="F43" s="73" t="s">
        <v>235</v>
      </c>
      <c r="G43" s="131">
        <v>24</v>
      </c>
      <c r="H43" s="93">
        <v>9</v>
      </c>
      <c r="I43" s="93">
        <f t="shared" si="1"/>
        <v>2</v>
      </c>
      <c r="J43" s="93">
        <v>16</v>
      </c>
      <c r="K43" s="122">
        <v>7</v>
      </c>
      <c r="L43" s="93">
        <v>2940</v>
      </c>
      <c r="M43" s="94">
        <v>46232</v>
      </c>
      <c r="N43" s="95">
        <f t="shared" si="0"/>
        <v>15</v>
      </c>
      <c r="O43" s="93">
        <f t="shared" si="2"/>
        <v>2940</v>
      </c>
      <c r="P43" s="96">
        <f t="shared" si="3"/>
        <v>44100</v>
      </c>
      <c r="Q43" s="109" t="s">
        <v>352</v>
      </c>
      <c r="R43" s="119"/>
      <c r="S43" s="119"/>
      <c r="T43" s="111"/>
      <c r="U43" s="116"/>
    </row>
    <row r="44" spans="1:21" s="114" customFormat="1" ht="28" customHeight="1" x14ac:dyDescent="0.25">
      <c r="A44" s="73">
        <v>33</v>
      </c>
      <c r="B44" s="81" t="s">
        <v>223</v>
      </c>
      <c r="C44" s="81" t="s">
        <v>37</v>
      </c>
      <c r="D44" s="110" t="s">
        <v>224</v>
      </c>
      <c r="E44" s="73" t="s">
        <v>103</v>
      </c>
      <c r="F44" s="73" t="s">
        <v>235</v>
      </c>
      <c r="G44" s="115">
        <v>5</v>
      </c>
      <c r="H44" s="93">
        <v>0</v>
      </c>
      <c r="I44" s="93">
        <f t="shared" si="1"/>
        <v>1</v>
      </c>
      <c r="J44" s="93">
        <v>10</v>
      </c>
      <c r="K44" s="122">
        <v>4</v>
      </c>
      <c r="L44" s="93">
        <v>30</v>
      </c>
      <c r="M44" s="94">
        <v>46191</v>
      </c>
      <c r="N44" s="95">
        <f t="shared" ref="N44:N75" si="4">G44-H44</f>
        <v>5</v>
      </c>
      <c r="O44" s="93">
        <f t="shared" si="2"/>
        <v>30</v>
      </c>
      <c r="P44" s="96">
        <f t="shared" si="3"/>
        <v>150</v>
      </c>
      <c r="Q44" s="109" t="s">
        <v>352</v>
      </c>
      <c r="R44" s="119"/>
      <c r="S44" s="119"/>
      <c r="T44" s="111"/>
      <c r="U44" s="116"/>
    </row>
    <row r="45" spans="1:21" s="64" customFormat="1" ht="28" customHeight="1" x14ac:dyDescent="0.25">
      <c r="A45" s="73">
        <v>34</v>
      </c>
      <c r="B45" s="90" t="s">
        <v>225</v>
      </c>
      <c r="C45" s="84" t="s">
        <v>37</v>
      </c>
      <c r="D45" s="73" t="s">
        <v>150</v>
      </c>
      <c r="E45" s="73" t="s">
        <v>103</v>
      </c>
      <c r="F45" s="73" t="s">
        <v>324</v>
      </c>
      <c r="G45" s="104">
        <v>5</v>
      </c>
      <c r="H45" s="93">
        <v>3</v>
      </c>
      <c r="I45" s="93">
        <f t="shared" si="1"/>
        <v>0</v>
      </c>
      <c r="J45" s="93">
        <v>1</v>
      </c>
      <c r="K45" s="122">
        <v>4</v>
      </c>
      <c r="L45" s="93">
        <v>810</v>
      </c>
      <c r="M45" s="94">
        <v>46232</v>
      </c>
      <c r="N45" s="95">
        <f t="shared" si="4"/>
        <v>2</v>
      </c>
      <c r="O45" s="93">
        <f t="shared" si="2"/>
        <v>810</v>
      </c>
      <c r="P45" s="96">
        <f t="shared" si="3"/>
        <v>1620</v>
      </c>
      <c r="Q45" s="109" t="s">
        <v>352</v>
      </c>
      <c r="R45" s="119"/>
      <c r="S45" s="119"/>
      <c r="T45" s="97"/>
      <c r="U45" s="98"/>
    </row>
    <row r="46" spans="1:21" s="64" customFormat="1" ht="28" customHeight="1" x14ac:dyDescent="0.25">
      <c r="A46" s="73">
        <v>35</v>
      </c>
      <c r="B46" s="90" t="s">
        <v>226</v>
      </c>
      <c r="C46" s="84" t="s">
        <v>43</v>
      </c>
      <c r="D46" s="73" t="s">
        <v>227</v>
      </c>
      <c r="E46" s="73" t="s">
        <v>103</v>
      </c>
      <c r="F46" s="73" t="s">
        <v>235</v>
      </c>
      <c r="G46" s="104">
        <v>10</v>
      </c>
      <c r="H46" s="93">
        <v>0</v>
      </c>
      <c r="I46" s="93">
        <f t="shared" si="1"/>
        <v>0</v>
      </c>
      <c r="J46" s="93">
        <v>0</v>
      </c>
      <c r="K46" s="122">
        <v>0</v>
      </c>
      <c r="L46" s="93">
        <v>0</v>
      </c>
      <c r="M46" s="94">
        <v>0</v>
      </c>
      <c r="N46" s="95">
        <f t="shared" si="4"/>
        <v>10</v>
      </c>
      <c r="O46" s="93">
        <f t="shared" si="2"/>
        <v>0</v>
      </c>
      <c r="P46" s="96">
        <f t="shared" si="3"/>
        <v>0</v>
      </c>
      <c r="Q46" s="109" t="s">
        <v>352</v>
      </c>
      <c r="R46" s="119"/>
      <c r="S46" s="119"/>
      <c r="T46" s="97"/>
      <c r="U46" s="98"/>
    </row>
    <row r="47" spans="1:21" s="64" customFormat="1" ht="28" customHeight="1" x14ac:dyDescent="0.25">
      <c r="A47" s="73">
        <v>36</v>
      </c>
      <c r="B47" s="79" t="s">
        <v>228</v>
      </c>
      <c r="C47" s="79" t="s">
        <v>229</v>
      </c>
      <c r="D47" s="73" t="s">
        <v>230</v>
      </c>
      <c r="E47" s="73" t="s">
        <v>103</v>
      </c>
      <c r="F47" s="73" t="s">
        <v>235</v>
      </c>
      <c r="G47" s="104">
        <v>10</v>
      </c>
      <c r="H47" s="93">
        <v>0</v>
      </c>
      <c r="I47" s="93">
        <f t="shared" si="1"/>
        <v>0</v>
      </c>
      <c r="J47" s="93">
        <v>0</v>
      </c>
      <c r="K47" s="122">
        <v>0</v>
      </c>
      <c r="L47" s="93">
        <v>0</v>
      </c>
      <c r="M47" s="94">
        <v>0</v>
      </c>
      <c r="N47" s="95">
        <f t="shared" si="4"/>
        <v>10</v>
      </c>
      <c r="O47" s="93">
        <f t="shared" si="2"/>
        <v>0</v>
      </c>
      <c r="P47" s="96">
        <f t="shared" si="3"/>
        <v>0</v>
      </c>
      <c r="Q47" s="109" t="s">
        <v>352</v>
      </c>
      <c r="R47" s="119"/>
      <c r="S47" s="119"/>
      <c r="T47" s="99"/>
      <c r="U47" s="100"/>
    </row>
    <row r="48" spans="1:21" s="64" customFormat="1" ht="28" customHeight="1" x14ac:dyDescent="0.25">
      <c r="A48" s="73">
        <v>37</v>
      </c>
      <c r="B48" s="79" t="s">
        <v>231</v>
      </c>
      <c r="C48" s="79" t="s">
        <v>232</v>
      </c>
      <c r="D48" s="73"/>
      <c r="E48" s="73" t="s">
        <v>42</v>
      </c>
      <c r="F48" s="73" t="s">
        <v>235</v>
      </c>
      <c r="G48" s="104">
        <v>5</v>
      </c>
      <c r="H48" s="93">
        <v>0</v>
      </c>
      <c r="I48" s="93">
        <f t="shared" si="1"/>
        <v>0</v>
      </c>
      <c r="J48" s="93">
        <v>0</v>
      </c>
      <c r="K48" s="122">
        <v>0</v>
      </c>
      <c r="L48" s="93">
        <v>0</v>
      </c>
      <c r="M48" s="94">
        <v>0</v>
      </c>
      <c r="N48" s="95">
        <f t="shared" si="4"/>
        <v>5</v>
      </c>
      <c r="O48" s="93">
        <f t="shared" si="2"/>
        <v>0</v>
      </c>
      <c r="P48" s="96">
        <f t="shared" si="3"/>
        <v>0</v>
      </c>
      <c r="Q48" s="109" t="s">
        <v>352</v>
      </c>
      <c r="R48" s="119"/>
      <c r="S48" s="119"/>
      <c r="T48" s="99"/>
      <c r="U48" s="100"/>
    </row>
    <row r="49" spans="1:21" s="64" customFormat="1" ht="28" customHeight="1" x14ac:dyDescent="0.25">
      <c r="A49" s="73">
        <v>38</v>
      </c>
      <c r="B49" s="79" t="s">
        <v>105</v>
      </c>
      <c r="C49" s="79" t="s">
        <v>37</v>
      </c>
      <c r="D49" s="73">
        <v>570</v>
      </c>
      <c r="E49" s="73" t="s">
        <v>103</v>
      </c>
      <c r="F49" s="73" t="s">
        <v>235</v>
      </c>
      <c r="G49" s="132">
        <v>10</v>
      </c>
      <c r="H49" s="93">
        <v>0</v>
      </c>
      <c r="I49" s="93">
        <f t="shared" si="1"/>
        <v>2</v>
      </c>
      <c r="J49" s="93">
        <v>14</v>
      </c>
      <c r="K49" s="122">
        <v>14</v>
      </c>
      <c r="L49" s="93">
        <v>25</v>
      </c>
      <c r="M49" s="94">
        <v>46222</v>
      </c>
      <c r="N49" s="95">
        <f t="shared" si="4"/>
        <v>10</v>
      </c>
      <c r="O49" s="93">
        <f t="shared" si="2"/>
        <v>25</v>
      </c>
      <c r="P49" s="96">
        <f t="shared" si="3"/>
        <v>250</v>
      </c>
      <c r="Q49" s="109" t="s">
        <v>44</v>
      </c>
      <c r="R49" s="119"/>
      <c r="S49" s="119"/>
      <c r="T49" s="97"/>
      <c r="U49" s="98"/>
    </row>
    <row r="50" spans="1:21" s="64" customFormat="1" ht="28" customHeight="1" x14ac:dyDescent="0.25">
      <c r="A50" s="73">
        <v>39</v>
      </c>
      <c r="B50" s="79" t="s">
        <v>233</v>
      </c>
      <c r="C50" s="79" t="s">
        <v>37</v>
      </c>
      <c r="D50" s="73" t="s">
        <v>234</v>
      </c>
      <c r="E50" s="73" t="s">
        <v>42</v>
      </c>
      <c r="F50" s="73" t="s">
        <v>235</v>
      </c>
      <c r="G50" s="104">
        <v>4</v>
      </c>
      <c r="H50" s="93">
        <v>0</v>
      </c>
      <c r="I50" s="93">
        <f t="shared" si="1"/>
        <v>0</v>
      </c>
      <c r="J50" s="93">
        <v>0</v>
      </c>
      <c r="K50" s="122">
        <v>0</v>
      </c>
      <c r="L50" s="93">
        <v>0</v>
      </c>
      <c r="M50" s="94">
        <v>0</v>
      </c>
      <c r="N50" s="95">
        <f t="shared" si="4"/>
        <v>4</v>
      </c>
      <c r="O50" s="93">
        <f t="shared" si="2"/>
        <v>0</v>
      </c>
      <c r="P50" s="96">
        <f t="shared" si="3"/>
        <v>0</v>
      </c>
      <c r="Q50" s="109" t="s">
        <v>352</v>
      </c>
      <c r="R50" s="119"/>
      <c r="S50" s="119"/>
      <c r="T50" s="97"/>
      <c r="U50" s="98"/>
    </row>
    <row r="51" spans="1:21" s="64" customFormat="1" ht="28" customHeight="1" x14ac:dyDescent="0.25">
      <c r="A51" s="73">
        <v>40</v>
      </c>
      <c r="B51" s="79" t="s">
        <v>164</v>
      </c>
      <c r="C51" s="80" t="s">
        <v>40</v>
      </c>
      <c r="D51" s="73"/>
      <c r="E51" s="73" t="s">
        <v>103</v>
      </c>
      <c r="F51" s="73" t="s">
        <v>209</v>
      </c>
      <c r="G51" s="104">
        <v>2</v>
      </c>
      <c r="H51" s="93">
        <v>1</v>
      </c>
      <c r="I51" s="93">
        <f t="shared" si="1"/>
        <v>0</v>
      </c>
      <c r="J51" s="93">
        <v>0</v>
      </c>
      <c r="K51" s="122">
        <v>1</v>
      </c>
      <c r="L51" s="93">
        <v>780</v>
      </c>
      <c r="M51" s="94">
        <v>46222</v>
      </c>
      <c r="N51" s="95">
        <f t="shared" si="4"/>
        <v>1</v>
      </c>
      <c r="O51" s="93">
        <f t="shared" si="2"/>
        <v>780</v>
      </c>
      <c r="P51" s="96">
        <f t="shared" si="3"/>
        <v>780</v>
      </c>
      <c r="Q51" s="109" t="s">
        <v>352</v>
      </c>
      <c r="R51" s="119"/>
      <c r="S51" s="119"/>
      <c r="T51" s="97"/>
      <c r="U51" s="98"/>
    </row>
    <row r="52" spans="1:21" s="64" customFormat="1" ht="28" customHeight="1" x14ac:dyDescent="0.25">
      <c r="A52" s="73">
        <v>41</v>
      </c>
      <c r="B52" s="79" t="s">
        <v>321</v>
      </c>
      <c r="C52" s="44" t="s">
        <v>37</v>
      </c>
      <c r="D52" s="73"/>
      <c r="E52" s="73" t="s">
        <v>103</v>
      </c>
      <c r="F52" s="73" t="s">
        <v>209</v>
      </c>
      <c r="G52" s="104">
        <v>300</v>
      </c>
      <c r="H52" s="93">
        <v>0</v>
      </c>
      <c r="I52" s="93">
        <f t="shared" ref="I52:I113" si="5">ROUND(J52/26*3,0)</f>
        <v>5</v>
      </c>
      <c r="J52" s="93">
        <v>43</v>
      </c>
      <c r="K52" s="122">
        <v>43</v>
      </c>
      <c r="L52" s="93">
        <v>42</v>
      </c>
      <c r="M52" s="94">
        <v>46224</v>
      </c>
      <c r="N52" s="95">
        <f t="shared" si="4"/>
        <v>300</v>
      </c>
      <c r="O52" s="93">
        <f t="shared" ref="O52:O113" si="6">L52</f>
        <v>42</v>
      </c>
      <c r="P52" s="96">
        <f t="shared" ref="P52:P113" si="7">N52*O52</f>
        <v>12600</v>
      </c>
      <c r="Q52" s="109" t="s">
        <v>354</v>
      </c>
      <c r="R52" s="119"/>
      <c r="S52" s="119"/>
      <c r="T52" s="97"/>
      <c r="U52" s="98"/>
    </row>
    <row r="53" spans="1:21" s="64" customFormat="1" ht="28" customHeight="1" x14ac:dyDescent="0.25">
      <c r="A53" s="73">
        <v>42</v>
      </c>
      <c r="B53" s="79" t="s">
        <v>97</v>
      </c>
      <c r="C53" s="79" t="s">
        <v>45</v>
      </c>
      <c r="D53" s="73"/>
      <c r="E53" s="73" t="s">
        <v>103</v>
      </c>
      <c r="F53" s="73" t="s">
        <v>209</v>
      </c>
      <c r="G53" s="104">
        <v>8</v>
      </c>
      <c r="H53" s="93">
        <v>0</v>
      </c>
      <c r="I53" s="93">
        <f t="shared" si="5"/>
        <v>1</v>
      </c>
      <c r="J53" s="93">
        <v>8</v>
      </c>
      <c r="K53" s="122">
        <v>5</v>
      </c>
      <c r="L53" s="93">
        <v>250</v>
      </c>
      <c r="M53" s="94">
        <v>46221</v>
      </c>
      <c r="N53" s="95">
        <f t="shared" si="4"/>
        <v>8</v>
      </c>
      <c r="O53" s="93">
        <f t="shared" si="6"/>
        <v>250</v>
      </c>
      <c r="P53" s="96">
        <f t="shared" si="7"/>
        <v>2000</v>
      </c>
      <c r="Q53" s="109" t="s">
        <v>326</v>
      </c>
      <c r="R53" s="119"/>
      <c r="S53" s="119"/>
      <c r="T53" s="97"/>
      <c r="U53" s="98"/>
    </row>
    <row r="54" spans="1:21" s="64" customFormat="1" ht="28" customHeight="1" x14ac:dyDescent="0.25">
      <c r="A54" s="73">
        <v>43</v>
      </c>
      <c r="B54" s="90" t="s">
        <v>73</v>
      </c>
      <c r="C54" s="79" t="s">
        <v>80</v>
      </c>
      <c r="D54" s="73"/>
      <c r="E54" s="73" t="s">
        <v>103</v>
      </c>
      <c r="F54" s="73" t="s">
        <v>209</v>
      </c>
      <c r="G54" s="104">
        <v>2</v>
      </c>
      <c r="H54" s="93">
        <v>0</v>
      </c>
      <c r="I54" s="93">
        <f t="shared" si="5"/>
        <v>0</v>
      </c>
      <c r="J54" s="93">
        <v>2</v>
      </c>
      <c r="K54" s="122">
        <v>2</v>
      </c>
      <c r="L54" s="93">
        <v>4200</v>
      </c>
      <c r="M54" s="94">
        <v>46207</v>
      </c>
      <c r="N54" s="95">
        <f t="shared" si="4"/>
        <v>2</v>
      </c>
      <c r="O54" s="93">
        <f t="shared" si="6"/>
        <v>4200</v>
      </c>
      <c r="P54" s="96">
        <f t="shared" si="7"/>
        <v>8400</v>
      </c>
      <c r="Q54" s="109" t="s">
        <v>167</v>
      </c>
      <c r="R54" s="119"/>
      <c r="S54" s="119"/>
      <c r="T54" s="97"/>
      <c r="U54" s="98"/>
    </row>
    <row r="55" spans="1:21" s="64" customFormat="1" ht="28" customHeight="1" x14ac:dyDescent="0.25">
      <c r="A55" s="73">
        <v>44</v>
      </c>
      <c r="B55" s="90" t="s">
        <v>114</v>
      </c>
      <c r="C55" s="79" t="s">
        <v>80</v>
      </c>
      <c r="D55" s="73"/>
      <c r="E55" s="73" t="s">
        <v>103</v>
      </c>
      <c r="F55" s="73" t="s">
        <v>209</v>
      </c>
      <c r="G55" s="102">
        <v>1</v>
      </c>
      <c r="H55" s="93">
        <v>0</v>
      </c>
      <c r="I55" s="93">
        <f t="shared" si="5"/>
        <v>0</v>
      </c>
      <c r="J55" s="93">
        <v>1</v>
      </c>
      <c r="K55" s="122">
        <v>1</v>
      </c>
      <c r="L55" s="93">
        <v>4200</v>
      </c>
      <c r="M55" s="94">
        <v>46207</v>
      </c>
      <c r="N55" s="95">
        <f t="shared" si="4"/>
        <v>1</v>
      </c>
      <c r="O55" s="93">
        <f t="shared" si="6"/>
        <v>4200</v>
      </c>
      <c r="P55" s="96">
        <f t="shared" si="7"/>
        <v>4200</v>
      </c>
      <c r="Q55" s="109" t="s">
        <v>352</v>
      </c>
      <c r="R55" s="119"/>
      <c r="S55" s="119"/>
      <c r="T55" s="97"/>
      <c r="U55" s="98"/>
    </row>
    <row r="56" spans="1:21" s="64" customFormat="1" ht="28" customHeight="1" x14ac:dyDescent="0.25">
      <c r="A56" s="73">
        <v>45</v>
      </c>
      <c r="B56" s="79" t="s">
        <v>94</v>
      </c>
      <c r="C56" s="79" t="s">
        <v>37</v>
      </c>
      <c r="D56" s="73"/>
      <c r="E56" s="73" t="s">
        <v>103</v>
      </c>
      <c r="F56" s="73" t="s">
        <v>151</v>
      </c>
      <c r="G56" s="133">
        <v>560</v>
      </c>
      <c r="H56" s="93">
        <v>292</v>
      </c>
      <c r="I56" s="93">
        <f t="shared" si="5"/>
        <v>48</v>
      </c>
      <c r="J56" s="93">
        <v>417</v>
      </c>
      <c r="K56" s="122">
        <v>260</v>
      </c>
      <c r="L56" s="93">
        <v>12</v>
      </c>
      <c r="M56" s="94">
        <v>46221</v>
      </c>
      <c r="N56" s="95">
        <f t="shared" si="4"/>
        <v>268</v>
      </c>
      <c r="O56" s="93">
        <f t="shared" si="6"/>
        <v>12</v>
      </c>
      <c r="P56" s="96">
        <f t="shared" si="7"/>
        <v>3216</v>
      </c>
      <c r="Q56" s="109" t="s">
        <v>44</v>
      </c>
      <c r="R56" s="119"/>
      <c r="S56" s="119"/>
      <c r="T56" s="97"/>
      <c r="U56" s="98"/>
    </row>
    <row r="57" spans="1:21" s="64" customFormat="1" ht="28" customHeight="1" x14ac:dyDescent="0.25">
      <c r="A57" s="73">
        <v>46</v>
      </c>
      <c r="B57" s="79" t="s">
        <v>236</v>
      </c>
      <c r="C57" s="79" t="s">
        <v>37</v>
      </c>
      <c r="D57" s="73"/>
      <c r="E57" s="73" t="s">
        <v>103</v>
      </c>
      <c r="F57" s="73" t="s">
        <v>209</v>
      </c>
      <c r="G57" s="105">
        <v>20</v>
      </c>
      <c r="H57" s="93">
        <v>0</v>
      </c>
      <c r="I57" s="93">
        <f t="shared" si="5"/>
        <v>0</v>
      </c>
      <c r="J57" s="93">
        <v>0</v>
      </c>
      <c r="K57" s="122">
        <v>29</v>
      </c>
      <c r="L57" s="93">
        <v>15</v>
      </c>
      <c r="M57" s="94">
        <v>45434</v>
      </c>
      <c r="N57" s="95">
        <f t="shared" si="4"/>
        <v>20</v>
      </c>
      <c r="O57" s="93">
        <f t="shared" si="6"/>
        <v>15</v>
      </c>
      <c r="P57" s="96">
        <f t="shared" si="7"/>
        <v>300</v>
      </c>
      <c r="Q57" s="109" t="s">
        <v>352</v>
      </c>
      <c r="R57" s="119"/>
      <c r="S57" s="119"/>
      <c r="T57" s="97"/>
      <c r="U57" s="98"/>
    </row>
    <row r="58" spans="1:21" s="64" customFormat="1" ht="28" customHeight="1" x14ac:dyDescent="0.25">
      <c r="A58" s="73">
        <v>47</v>
      </c>
      <c r="B58" s="79" t="s">
        <v>237</v>
      </c>
      <c r="C58" s="79" t="s">
        <v>37</v>
      </c>
      <c r="D58" s="73" t="s">
        <v>238</v>
      </c>
      <c r="E58" s="73" t="s">
        <v>103</v>
      </c>
      <c r="F58" s="73" t="s">
        <v>209</v>
      </c>
      <c r="G58" s="105">
        <v>60</v>
      </c>
      <c r="H58" s="93">
        <v>0</v>
      </c>
      <c r="I58" s="93">
        <f t="shared" si="5"/>
        <v>3</v>
      </c>
      <c r="J58" s="93">
        <v>24</v>
      </c>
      <c r="K58" s="122">
        <v>25</v>
      </c>
      <c r="L58" s="93">
        <v>4</v>
      </c>
      <c r="M58" s="94">
        <v>45936</v>
      </c>
      <c r="N58" s="95">
        <f t="shared" si="4"/>
        <v>60</v>
      </c>
      <c r="O58" s="93">
        <f t="shared" si="6"/>
        <v>4</v>
      </c>
      <c r="P58" s="96">
        <f t="shared" si="7"/>
        <v>240</v>
      </c>
      <c r="Q58" s="109" t="s">
        <v>352</v>
      </c>
      <c r="R58" s="119"/>
      <c r="S58" s="119"/>
      <c r="T58" s="97"/>
      <c r="U58" s="98"/>
    </row>
    <row r="59" spans="1:21" s="64" customFormat="1" ht="28" customHeight="1" x14ac:dyDescent="0.25">
      <c r="A59" s="73">
        <v>48</v>
      </c>
      <c r="B59" s="91" t="s">
        <v>104</v>
      </c>
      <c r="C59" s="78" t="s">
        <v>37</v>
      </c>
      <c r="D59" s="73" t="s">
        <v>239</v>
      </c>
      <c r="E59" s="73" t="s">
        <v>103</v>
      </c>
      <c r="F59" s="73" t="s">
        <v>209</v>
      </c>
      <c r="G59" s="105">
        <f>24*5</f>
        <v>120</v>
      </c>
      <c r="H59" s="93">
        <v>0</v>
      </c>
      <c r="I59" s="93">
        <f t="shared" si="5"/>
        <v>8</v>
      </c>
      <c r="J59" s="93">
        <v>72</v>
      </c>
      <c r="K59" s="122">
        <v>72</v>
      </c>
      <c r="L59" s="93">
        <v>9.7910000000000004</v>
      </c>
      <c r="M59" s="94">
        <v>46212</v>
      </c>
      <c r="N59" s="95">
        <f t="shared" si="4"/>
        <v>120</v>
      </c>
      <c r="O59" s="93">
        <f t="shared" si="6"/>
        <v>9.7910000000000004</v>
      </c>
      <c r="P59" s="96">
        <f t="shared" si="7"/>
        <v>1174.92</v>
      </c>
      <c r="Q59" s="109" t="s">
        <v>167</v>
      </c>
      <c r="R59" s="119"/>
      <c r="S59" s="119"/>
      <c r="T59" s="97"/>
      <c r="U59" s="98"/>
    </row>
    <row r="60" spans="1:21" s="64" customFormat="1" ht="28" customHeight="1" x14ac:dyDescent="0.25">
      <c r="A60" s="73">
        <v>49</v>
      </c>
      <c r="B60" s="79" t="s">
        <v>165</v>
      </c>
      <c r="C60" s="79" t="s">
        <v>37</v>
      </c>
      <c r="D60" s="73" t="s">
        <v>240</v>
      </c>
      <c r="E60" s="73" t="s">
        <v>42</v>
      </c>
      <c r="F60" s="73" t="s">
        <v>209</v>
      </c>
      <c r="G60" s="106">
        <v>6</v>
      </c>
      <c r="H60" s="93">
        <v>0</v>
      </c>
      <c r="I60" s="93">
        <f t="shared" si="5"/>
        <v>0</v>
      </c>
      <c r="J60" s="93">
        <v>0</v>
      </c>
      <c r="K60" s="122">
        <v>0</v>
      </c>
      <c r="L60" s="93">
        <v>0</v>
      </c>
      <c r="M60" s="94">
        <v>0</v>
      </c>
      <c r="N60" s="95">
        <f t="shared" si="4"/>
        <v>6</v>
      </c>
      <c r="O60" s="93">
        <f t="shared" si="6"/>
        <v>0</v>
      </c>
      <c r="P60" s="96">
        <f t="shared" si="7"/>
        <v>0</v>
      </c>
      <c r="Q60" s="109" t="s">
        <v>352</v>
      </c>
      <c r="R60" s="119"/>
      <c r="S60" s="119"/>
      <c r="T60" s="99"/>
      <c r="U60" s="100"/>
    </row>
    <row r="61" spans="1:21" s="64" customFormat="1" ht="28" customHeight="1" x14ac:dyDescent="0.25">
      <c r="A61" s="73">
        <v>50</v>
      </c>
      <c r="B61" s="79" t="s">
        <v>98</v>
      </c>
      <c r="C61" s="79" t="s">
        <v>37</v>
      </c>
      <c r="D61" s="73"/>
      <c r="E61" s="73" t="s">
        <v>103</v>
      </c>
      <c r="F61" s="73" t="s">
        <v>167</v>
      </c>
      <c r="G61" s="106">
        <v>60</v>
      </c>
      <c r="H61" s="93">
        <v>50</v>
      </c>
      <c r="I61" s="93">
        <f t="shared" si="5"/>
        <v>2</v>
      </c>
      <c r="J61" s="93">
        <v>20</v>
      </c>
      <c r="K61" s="122">
        <v>70</v>
      </c>
      <c r="L61" s="93">
        <v>50</v>
      </c>
      <c r="M61" s="94">
        <v>46222</v>
      </c>
      <c r="N61" s="95">
        <f t="shared" si="4"/>
        <v>10</v>
      </c>
      <c r="O61" s="93">
        <f t="shared" si="6"/>
        <v>50</v>
      </c>
      <c r="P61" s="96">
        <f t="shared" si="7"/>
        <v>500</v>
      </c>
      <c r="Q61" s="109" t="s">
        <v>167</v>
      </c>
      <c r="R61" s="119"/>
      <c r="S61" s="119"/>
      <c r="T61" s="97"/>
      <c r="U61" s="98"/>
    </row>
    <row r="62" spans="1:21" s="64" customFormat="1" ht="28" customHeight="1" x14ac:dyDescent="0.25">
      <c r="A62" s="73">
        <v>51</v>
      </c>
      <c r="B62" s="79" t="s">
        <v>54</v>
      </c>
      <c r="C62" s="79" t="s">
        <v>40</v>
      </c>
      <c r="D62" s="73" t="s">
        <v>89</v>
      </c>
      <c r="E62" s="73" t="s">
        <v>103</v>
      </c>
      <c r="F62" s="73" t="s">
        <v>167</v>
      </c>
      <c r="G62" s="106">
        <v>40</v>
      </c>
      <c r="H62" s="93">
        <v>28</v>
      </c>
      <c r="I62" s="93">
        <f t="shared" si="5"/>
        <v>6</v>
      </c>
      <c r="J62" s="93">
        <v>48</v>
      </c>
      <c r="K62" s="122">
        <v>42</v>
      </c>
      <c r="L62" s="93">
        <v>70</v>
      </c>
      <c r="M62" s="94">
        <v>46222</v>
      </c>
      <c r="N62" s="95">
        <f t="shared" si="4"/>
        <v>12</v>
      </c>
      <c r="O62" s="93">
        <f t="shared" si="6"/>
        <v>70</v>
      </c>
      <c r="P62" s="96">
        <f t="shared" si="7"/>
        <v>840</v>
      </c>
      <c r="Q62" s="109" t="s">
        <v>167</v>
      </c>
      <c r="R62" s="119"/>
      <c r="S62" s="119"/>
      <c r="T62" s="97"/>
      <c r="U62" s="98"/>
    </row>
    <row r="63" spans="1:21" s="64" customFormat="1" ht="28" customHeight="1" x14ac:dyDescent="0.25">
      <c r="A63" s="73">
        <v>52</v>
      </c>
      <c r="B63" s="79" t="s">
        <v>50</v>
      </c>
      <c r="C63" s="79" t="s">
        <v>37</v>
      </c>
      <c r="D63" s="73"/>
      <c r="E63" s="73" t="s">
        <v>103</v>
      </c>
      <c r="F63" s="73" t="s">
        <v>167</v>
      </c>
      <c r="G63" s="106">
        <v>200</v>
      </c>
      <c r="H63" s="93">
        <v>126</v>
      </c>
      <c r="I63" s="93">
        <f t="shared" si="5"/>
        <v>11</v>
      </c>
      <c r="J63" s="93">
        <v>92</v>
      </c>
      <c r="K63" s="122">
        <v>200</v>
      </c>
      <c r="L63" s="93">
        <v>109.5</v>
      </c>
      <c r="M63" s="94">
        <v>46221</v>
      </c>
      <c r="N63" s="95">
        <f t="shared" si="4"/>
        <v>74</v>
      </c>
      <c r="O63" s="93">
        <f t="shared" si="6"/>
        <v>109.5</v>
      </c>
      <c r="P63" s="96">
        <f t="shared" si="7"/>
        <v>8103</v>
      </c>
      <c r="Q63" s="109" t="s">
        <v>167</v>
      </c>
      <c r="R63" s="119"/>
      <c r="S63" s="119"/>
      <c r="T63" s="97"/>
      <c r="U63" s="98"/>
    </row>
    <row r="64" spans="1:21" s="64" customFormat="1" ht="28" customHeight="1" x14ac:dyDescent="0.25">
      <c r="A64" s="73">
        <v>53</v>
      </c>
      <c r="B64" s="79" t="s">
        <v>133</v>
      </c>
      <c r="C64" s="79" t="s">
        <v>37</v>
      </c>
      <c r="D64" s="73"/>
      <c r="E64" s="73" t="s">
        <v>103</v>
      </c>
      <c r="F64" s="73" t="s">
        <v>167</v>
      </c>
      <c r="G64" s="106">
        <v>25</v>
      </c>
      <c r="H64" s="93">
        <v>18</v>
      </c>
      <c r="I64" s="93">
        <f t="shared" si="5"/>
        <v>3</v>
      </c>
      <c r="J64" s="93">
        <v>30</v>
      </c>
      <c r="K64" s="122">
        <v>48</v>
      </c>
      <c r="L64" s="93">
        <v>265</v>
      </c>
      <c r="M64" s="94">
        <v>46222</v>
      </c>
      <c r="N64" s="95">
        <f t="shared" si="4"/>
        <v>7</v>
      </c>
      <c r="O64" s="93">
        <f t="shared" si="6"/>
        <v>265</v>
      </c>
      <c r="P64" s="96">
        <f t="shared" si="7"/>
        <v>1855</v>
      </c>
      <c r="Q64" s="109" t="s">
        <v>167</v>
      </c>
      <c r="R64" s="119"/>
      <c r="S64" s="119"/>
      <c r="T64" s="97"/>
      <c r="U64" s="98"/>
    </row>
    <row r="65" spans="1:21" s="64" customFormat="1" ht="28" customHeight="1" x14ac:dyDescent="0.25">
      <c r="A65" s="73">
        <v>54</v>
      </c>
      <c r="B65" s="79" t="s">
        <v>115</v>
      </c>
      <c r="C65" s="79" t="s">
        <v>37</v>
      </c>
      <c r="D65" s="73"/>
      <c r="E65" s="73" t="s">
        <v>103</v>
      </c>
      <c r="F65" s="73" t="s">
        <v>167</v>
      </c>
      <c r="G65" s="106">
        <v>30</v>
      </c>
      <c r="H65" s="93">
        <v>14</v>
      </c>
      <c r="I65" s="93">
        <f t="shared" si="5"/>
        <v>2</v>
      </c>
      <c r="J65" s="93">
        <v>19</v>
      </c>
      <c r="K65" s="122">
        <v>24</v>
      </c>
      <c r="L65" s="93">
        <v>130</v>
      </c>
      <c r="M65" s="94">
        <v>46221</v>
      </c>
      <c r="N65" s="95">
        <f t="shared" si="4"/>
        <v>16</v>
      </c>
      <c r="O65" s="93">
        <f t="shared" si="6"/>
        <v>130</v>
      </c>
      <c r="P65" s="96">
        <f t="shared" si="7"/>
        <v>2080</v>
      </c>
      <c r="Q65" s="109" t="s">
        <v>167</v>
      </c>
      <c r="R65" s="119"/>
      <c r="S65" s="119"/>
      <c r="T65" s="99"/>
      <c r="U65" s="100"/>
    </row>
    <row r="66" spans="1:21" s="64" customFormat="1" ht="28" customHeight="1" x14ac:dyDescent="0.25">
      <c r="A66" s="73">
        <v>55</v>
      </c>
      <c r="B66" s="73" t="s">
        <v>166</v>
      </c>
      <c r="C66" s="79" t="s">
        <v>37</v>
      </c>
      <c r="D66" s="73"/>
      <c r="E66" s="73" t="s">
        <v>103</v>
      </c>
      <c r="F66" s="73" t="s">
        <v>167</v>
      </c>
      <c r="G66" s="106">
        <v>5</v>
      </c>
      <c r="H66" s="93">
        <v>4</v>
      </c>
      <c r="I66" s="93">
        <f t="shared" si="5"/>
        <v>0</v>
      </c>
      <c r="J66" s="93">
        <v>2</v>
      </c>
      <c r="K66" s="122">
        <v>6</v>
      </c>
      <c r="L66" s="93">
        <v>100</v>
      </c>
      <c r="M66" s="94">
        <v>46221</v>
      </c>
      <c r="N66" s="95">
        <f t="shared" si="4"/>
        <v>1</v>
      </c>
      <c r="O66" s="93">
        <f t="shared" si="6"/>
        <v>100</v>
      </c>
      <c r="P66" s="96">
        <f t="shared" si="7"/>
        <v>100</v>
      </c>
      <c r="Q66" s="109" t="s">
        <v>167</v>
      </c>
      <c r="R66" s="119"/>
      <c r="S66" s="119"/>
      <c r="T66" s="99"/>
      <c r="U66" s="100"/>
    </row>
    <row r="67" spans="1:21" s="64" customFormat="1" ht="28" customHeight="1" x14ac:dyDescent="0.25">
      <c r="A67" s="73">
        <v>56</v>
      </c>
      <c r="B67" s="79" t="s">
        <v>116</v>
      </c>
      <c r="C67" s="79" t="s">
        <v>37</v>
      </c>
      <c r="D67" s="73" t="s">
        <v>117</v>
      </c>
      <c r="E67" s="73" t="s">
        <v>103</v>
      </c>
      <c r="F67" s="73" t="s">
        <v>167</v>
      </c>
      <c r="G67" s="106">
        <v>2</v>
      </c>
      <c r="H67" s="93">
        <v>1</v>
      </c>
      <c r="I67" s="93">
        <f t="shared" si="5"/>
        <v>0</v>
      </c>
      <c r="J67" s="93">
        <v>1</v>
      </c>
      <c r="K67" s="122">
        <v>1</v>
      </c>
      <c r="L67" s="93">
        <v>1100</v>
      </c>
      <c r="M67" s="94">
        <v>46221</v>
      </c>
      <c r="N67" s="95">
        <f t="shared" si="4"/>
        <v>1</v>
      </c>
      <c r="O67" s="93">
        <f t="shared" si="6"/>
        <v>1100</v>
      </c>
      <c r="P67" s="96">
        <f t="shared" si="7"/>
        <v>1100</v>
      </c>
      <c r="Q67" s="109" t="s">
        <v>167</v>
      </c>
      <c r="R67" s="119"/>
      <c r="S67" s="119"/>
      <c r="T67" s="97"/>
      <c r="U67" s="98"/>
    </row>
    <row r="68" spans="1:21" s="64" customFormat="1" ht="28" customHeight="1" x14ac:dyDescent="0.25">
      <c r="A68" s="73">
        <v>57</v>
      </c>
      <c r="B68" s="73" t="s">
        <v>241</v>
      </c>
      <c r="C68" s="79" t="s">
        <v>37</v>
      </c>
      <c r="D68" s="73"/>
      <c r="E68" s="73" t="s">
        <v>103</v>
      </c>
      <c r="F68" s="73" t="s">
        <v>167</v>
      </c>
      <c r="G68" s="106">
        <v>10</v>
      </c>
      <c r="H68" s="93">
        <v>0</v>
      </c>
      <c r="I68" s="93">
        <f t="shared" si="5"/>
        <v>0</v>
      </c>
      <c r="J68" s="93">
        <v>0</v>
      </c>
      <c r="K68" s="122">
        <v>0</v>
      </c>
      <c r="L68" s="93">
        <v>0</v>
      </c>
      <c r="M68" s="94">
        <v>0</v>
      </c>
      <c r="N68" s="95">
        <f t="shared" si="4"/>
        <v>10</v>
      </c>
      <c r="O68" s="93">
        <f t="shared" si="6"/>
        <v>0</v>
      </c>
      <c r="P68" s="96">
        <f t="shared" si="7"/>
        <v>0</v>
      </c>
      <c r="Q68" s="109" t="s">
        <v>167</v>
      </c>
      <c r="R68" s="119"/>
      <c r="S68" s="119"/>
      <c r="T68" s="97"/>
      <c r="U68" s="98"/>
    </row>
    <row r="69" spans="1:21" s="64" customFormat="1" ht="28" customHeight="1" x14ac:dyDescent="0.25">
      <c r="A69" s="73">
        <v>58</v>
      </c>
      <c r="B69" s="79" t="s">
        <v>242</v>
      </c>
      <c r="C69" s="79" t="s">
        <v>43</v>
      </c>
      <c r="D69" s="73"/>
      <c r="E69" s="73" t="s">
        <v>103</v>
      </c>
      <c r="F69" s="73" t="s">
        <v>167</v>
      </c>
      <c r="G69" s="92">
        <v>15</v>
      </c>
      <c r="H69" s="93">
        <v>0</v>
      </c>
      <c r="I69" s="93">
        <f t="shared" si="5"/>
        <v>2</v>
      </c>
      <c r="J69" s="93">
        <v>19</v>
      </c>
      <c r="K69" s="122">
        <v>14</v>
      </c>
      <c r="L69" s="93">
        <v>140</v>
      </c>
      <c r="M69" s="94">
        <v>46191</v>
      </c>
      <c r="N69" s="95">
        <f t="shared" si="4"/>
        <v>15</v>
      </c>
      <c r="O69" s="93">
        <f t="shared" si="6"/>
        <v>140</v>
      </c>
      <c r="P69" s="96">
        <f t="shared" si="7"/>
        <v>2100</v>
      </c>
      <c r="Q69" s="109" t="s">
        <v>167</v>
      </c>
      <c r="R69" s="119"/>
      <c r="S69" s="119"/>
      <c r="T69" s="97"/>
      <c r="U69" s="98"/>
    </row>
    <row r="70" spans="1:21" s="64" customFormat="1" ht="28" customHeight="1" x14ac:dyDescent="0.25">
      <c r="A70" s="73">
        <v>59</v>
      </c>
      <c r="B70" s="79" t="s">
        <v>53</v>
      </c>
      <c r="C70" s="79" t="s">
        <v>43</v>
      </c>
      <c r="D70" s="73"/>
      <c r="E70" s="73" t="s">
        <v>103</v>
      </c>
      <c r="F70" s="73" t="s">
        <v>167</v>
      </c>
      <c r="G70" s="92">
        <v>15</v>
      </c>
      <c r="H70" s="93">
        <v>0</v>
      </c>
      <c r="I70" s="93">
        <f t="shared" si="5"/>
        <v>2</v>
      </c>
      <c r="J70" s="93">
        <v>18</v>
      </c>
      <c r="K70" s="122">
        <v>11</v>
      </c>
      <c r="L70" s="93">
        <v>70</v>
      </c>
      <c r="M70" s="94">
        <v>46221</v>
      </c>
      <c r="N70" s="95">
        <f t="shared" si="4"/>
        <v>15</v>
      </c>
      <c r="O70" s="93">
        <f t="shared" si="6"/>
        <v>70</v>
      </c>
      <c r="P70" s="96">
        <f t="shared" si="7"/>
        <v>1050</v>
      </c>
      <c r="Q70" s="109" t="s">
        <v>167</v>
      </c>
      <c r="R70" s="119"/>
      <c r="S70" s="119"/>
      <c r="T70" s="97"/>
      <c r="U70" s="98"/>
    </row>
    <row r="71" spans="1:21" s="64" customFormat="1" ht="28" customHeight="1" x14ac:dyDescent="0.25">
      <c r="A71" s="73">
        <v>60</v>
      </c>
      <c r="B71" s="79" t="s">
        <v>81</v>
      </c>
      <c r="C71" s="79" t="s">
        <v>37</v>
      </c>
      <c r="D71" s="73" t="s">
        <v>82</v>
      </c>
      <c r="E71" s="73" t="s">
        <v>103</v>
      </c>
      <c r="F71" s="73" t="s">
        <v>167</v>
      </c>
      <c r="G71" s="92">
        <v>10</v>
      </c>
      <c r="H71" s="93">
        <v>5</v>
      </c>
      <c r="I71" s="93">
        <f t="shared" si="5"/>
        <v>1</v>
      </c>
      <c r="J71" s="93">
        <v>6</v>
      </c>
      <c r="K71" s="122">
        <v>11</v>
      </c>
      <c r="L71" s="93">
        <v>170</v>
      </c>
      <c r="M71" s="94">
        <v>46222</v>
      </c>
      <c r="N71" s="95">
        <f t="shared" si="4"/>
        <v>5</v>
      </c>
      <c r="O71" s="93">
        <f t="shared" si="6"/>
        <v>170</v>
      </c>
      <c r="P71" s="96">
        <f t="shared" si="7"/>
        <v>850</v>
      </c>
      <c r="Q71" s="109" t="s">
        <v>167</v>
      </c>
      <c r="R71" s="119"/>
      <c r="S71" s="119"/>
      <c r="T71" s="97"/>
      <c r="U71" s="98"/>
    </row>
    <row r="72" spans="1:21" s="64" customFormat="1" ht="28" customHeight="1" x14ac:dyDescent="0.25">
      <c r="A72" s="73">
        <v>61</v>
      </c>
      <c r="B72" s="79" t="s">
        <v>134</v>
      </c>
      <c r="C72" s="79" t="s">
        <v>37</v>
      </c>
      <c r="D72" s="73" t="s">
        <v>99</v>
      </c>
      <c r="E72" s="73" t="s">
        <v>103</v>
      </c>
      <c r="F72" s="73" t="s">
        <v>167</v>
      </c>
      <c r="G72" s="92">
        <v>360</v>
      </c>
      <c r="H72" s="93">
        <v>240</v>
      </c>
      <c r="I72" s="93">
        <f t="shared" si="5"/>
        <v>17</v>
      </c>
      <c r="J72" s="93">
        <v>149</v>
      </c>
      <c r="K72" s="122">
        <v>317</v>
      </c>
      <c r="L72" s="93">
        <v>21.8</v>
      </c>
      <c r="M72" s="94">
        <v>46222</v>
      </c>
      <c r="N72" s="95">
        <f t="shared" si="4"/>
        <v>120</v>
      </c>
      <c r="O72" s="93">
        <f t="shared" si="6"/>
        <v>21.8</v>
      </c>
      <c r="P72" s="96">
        <f t="shared" si="7"/>
        <v>2616</v>
      </c>
      <c r="Q72" s="109" t="s">
        <v>167</v>
      </c>
      <c r="R72" s="119"/>
      <c r="S72" s="119"/>
      <c r="T72" s="97"/>
      <c r="U72" s="98"/>
    </row>
    <row r="73" spans="1:21" s="64" customFormat="1" ht="28" customHeight="1" x14ac:dyDescent="0.25">
      <c r="A73" s="73">
        <v>62</v>
      </c>
      <c r="B73" s="79" t="s">
        <v>243</v>
      </c>
      <c r="C73" s="79" t="s">
        <v>37</v>
      </c>
      <c r="D73" s="73" t="s">
        <v>244</v>
      </c>
      <c r="E73" s="73" t="s">
        <v>103</v>
      </c>
      <c r="F73" s="73" t="s">
        <v>167</v>
      </c>
      <c r="G73" s="92">
        <v>20</v>
      </c>
      <c r="H73" s="93">
        <v>0</v>
      </c>
      <c r="I73" s="93">
        <f t="shared" si="5"/>
        <v>1</v>
      </c>
      <c r="J73" s="93">
        <v>12</v>
      </c>
      <c r="K73" s="122">
        <v>12</v>
      </c>
      <c r="L73" s="93">
        <v>65</v>
      </c>
      <c r="M73" s="94">
        <v>46191</v>
      </c>
      <c r="N73" s="95">
        <f t="shared" si="4"/>
        <v>20</v>
      </c>
      <c r="O73" s="93">
        <f t="shared" si="6"/>
        <v>65</v>
      </c>
      <c r="P73" s="96">
        <f t="shared" si="7"/>
        <v>1300</v>
      </c>
      <c r="Q73" s="109" t="s">
        <v>167</v>
      </c>
      <c r="R73" s="119"/>
      <c r="S73" s="119"/>
      <c r="T73" s="97"/>
      <c r="U73" s="98"/>
    </row>
    <row r="74" spans="1:21" s="64" customFormat="1" ht="28" customHeight="1" x14ac:dyDescent="0.25">
      <c r="A74" s="73">
        <v>63</v>
      </c>
      <c r="B74" s="79" t="s">
        <v>100</v>
      </c>
      <c r="C74" s="79" t="s">
        <v>37</v>
      </c>
      <c r="D74" s="73"/>
      <c r="E74" s="73" t="s">
        <v>103</v>
      </c>
      <c r="F74" s="73" t="s">
        <v>167</v>
      </c>
      <c r="G74" s="92">
        <v>300</v>
      </c>
      <c r="H74" s="93">
        <v>230</v>
      </c>
      <c r="I74" s="93">
        <f t="shared" si="5"/>
        <v>33</v>
      </c>
      <c r="J74" s="93">
        <v>288</v>
      </c>
      <c r="K74" s="122">
        <v>216</v>
      </c>
      <c r="L74" s="93">
        <v>14.6</v>
      </c>
      <c r="M74" s="94">
        <v>46221</v>
      </c>
      <c r="N74" s="95">
        <f t="shared" si="4"/>
        <v>70</v>
      </c>
      <c r="O74" s="93">
        <f t="shared" si="6"/>
        <v>14.6</v>
      </c>
      <c r="P74" s="96">
        <f t="shared" si="7"/>
        <v>1022</v>
      </c>
      <c r="Q74" s="109" t="s">
        <v>167</v>
      </c>
      <c r="R74" s="119"/>
      <c r="S74" s="119"/>
      <c r="T74" s="97"/>
      <c r="U74" s="98"/>
    </row>
    <row r="75" spans="1:21" s="64" customFormat="1" ht="28" customHeight="1" x14ac:dyDescent="0.25">
      <c r="A75" s="73">
        <v>64</v>
      </c>
      <c r="B75" s="79" t="s">
        <v>58</v>
      </c>
      <c r="C75" s="79" t="s">
        <v>37</v>
      </c>
      <c r="D75" s="73" t="s">
        <v>59</v>
      </c>
      <c r="E75" s="73" t="s">
        <v>103</v>
      </c>
      <c r="F75" s="73" t="s">
        <v>167</v>
      </c>
      <c r="G75" s="92">
        <v>30</v>
      </c>
      <c r="H75" s="93">
        <v>14</v>
      </c>
      <c r="I75" s="93">
        <f t="shared" si="5"/>
        <v>2</v>
      </c>
      <c r="J75" s="93">
        <v>19</v>
      </c>
      <c r="K75" s="122">
        <v>26</v>
      </c>
      <c r="L75" s="93">
        <v>45</v>
      </c>
      <c r="M75" s="94">
        <v>46221</v>
      </c>
      <c r="N75" s="95">
        <f t="shared" si="4"/>
        <v>16</v>
      </c>
      <c r="O75" s="93">
        <f t="shared" si="6"/>
        <v>45</v>
      </c>
      <c r="P75" s="96">
        <f t="shared" si="7"/>
        <v>720</v>
      </c>
      <c r="Q75" s="109" t="s">
        <v>167</v>
      </c>
      <c r="R75" s="119"/>
      <c r="S75" s="119"/>
      <c r="T75" s="97"/>
      <c r="U75" s="98"/>
    </row>
    <row r="76" spans="1:21" s="64" customFormat="1" ht="28" customHeight="1" x14ac:dyDescent="0.25">
      <c r="A76" s="73">
        <v>65</v>
      </c>
      <c r="B76" s="79" t="s">
        <v>90</v>
      </c>
      <c r="C76" s="79" t="s">
        <v>43</v>
      </c>
      <c r="D76" s="73"/>
      <c r="E76" s="73" t="s">
        <v>103</v>
      </c>
      <c r="F76" s="73" t="s">
        <v>167</v>
      </c>
      <c r="G76" s="92">
        <v>3</v>
      </c>
      <c r="H76" s="93">
        <v>0</v>
      </c>
      <c r="I76" s="93">
        <f t="shared" si="5"/>
        <v>0</v>
      </c>
      <c r="J76" s="93">
        <v>4</v>
      </c>
      <c r="K76" s="122">
        <v>2</v>
      </c>
      <c r="L76" s="93">
        <v>390</v>
      </c>
      <c r="M76" s="94">
        <v>46222</v>
      </c>
      <c r="N76" s="95">
        <f t="shared" ref="N76:N107" si="8">G76-H76</f>
        <v>3</v>
      </c>
      <c r="O76" s="93">
        <f t="shared" si="6"/>
        <v>390</v>
      </c>
      <c r="P76" s="96">
        <f t="shared" si="7"/>
        <v>1170</v>
      </c>
      <c r="Q76" s="109" t="s">
        <v>167</v>
      </c>
      <c r="R76" s="119"/>
      <c r="S76" s="119"/>
      <c r="T76" s="99"/>
      <c r="U76" s="100"/>
    </row>
    <row r="77" spans="1:21" s="64" customFormat="1" ht="28" customHeight="1" x14ac:dyDescent="0.25">
      <c r="A77" s="73">
        <v>66</v>
      </c>
      <c r="B77" s="79" t="s">
        <v>83</v>
      </c>
      <c r="C77" s="79" t="s">
        <v>37</v>
      </c>
      <c r="D77" s="79"/>
      <c r="E77" s="73" t="s">
        <v>103</v>
      </c>
      <c r="F77" s="73" t="s">
        <v>167</v>
      </c>
      <c r="G77" s="92">
        <v>10</v>
      </c>
      <c r="H77" s="93">
        <v>0</v>
      </c>
      <c r="I77" s="93">
        <f t="shared" si="5"/>
        <v>1</v>
      </c>
      <c r="J77" s="93">
        <v>11</v>
      </c>
      <c r="K77" s="122">
        <v>11</v>
      </c>
      <c r="L77" s="93">
        <v>95</v>
      </c>
      <c r="M77" s="94">
        <v>46221</v>
      </c>
      <c r="N77" s="95">
        <f t="shared" si="8"/>
        <v>10</v>
      </c>
      <c r="O77" s="93">
        <f t="shared" si="6"/>
        <v>95</v>
      </c>
      <c r="P77" s="96">
        <f t="shared" si="7"/>
        <v>950</v>
      </c>
      <c r="Q77" s="109" t="s">
        <v>167</v>
      </c>
      <c r="R77" s="119"/>
      <c r="S77" s="119"/>
      <c r="T77" s="97"/>
      <c r="U77" s="98"/>
    </row>
    <row r="78" spans="1:21" s="64" customFormat="1" ht="28" customHeight="1" x14ac:dyDescent="0.25">
      <c r="A78" s="73">
        <v>67</v>
      </c>
      <c r="B78" s="79" t="s">
        <v>118</v>
      </c>
      <c r="C78" s="79" t="s">
        <v>37</v>
      </c>
      <c r="D78" s="73"/>
      <c r="E78" s="73" t="s">
        <v>103</v>
      </c>
      <c r="F78" s="73" t="s">
        <v>167</v>
      </c>
      <c r="G78" s="92">
        <v>15</v>
      </c>
      <c r="H78" s="93">
        <v>10</v>
      </c>
      <c r="I78" s="93">
        <f t="shared" si="5"/>
        <v>1</v>
      </c>
      <c r="J78" s="93">
        <v>7</v>
      </c>
      <c r="K78" s="122">
        <v>10</v>
      </c>
      <c r="L78" s="93">
        <v>85</v>
      </c>
      <c r="M78" s="94">
        <v>46222</v>
      </c>
      <c r="N78" s="95">
        <f t="shared" si="8"/>
        <v>5</v>
      </c>
      <c r="O78" s="93">
        <f t="shared" si="6"/>
        <v>85</v>
      </c>
      <c r="P78" s="96">
        <f t="shared" si="7"/>
        <v>425</v>
      </c>
      <c r="Q78" s="109" t="s">
        <v>167</v>
      </c>
      <c r="R78" s="119"/>
      <c r="S78" s="119"/>
      <c r="T78" s="97"/>
      <c r="U78" s="98"/>
    </row>
    <row r="79" spans="1:21" s="64" customFormat="1" ht="28" customHeight="1" x14ac:dyDescent="0.25">
      <c r="A79" s="73">
        <v>68</v>
      </c>
      <c r="B79" s="79" t="s">
        <v>84</v>
      </c>
      <c r="C79" s="79" t="s">
        <v>60</v>
      </c>
      <c r="D79" s="73"/>
      <c r="E79" s="73" t="s">
        <v>103</v>
      </c>
      <c r="F79" s="73" t="s">
        <v>167</v>
      </c>
      <c r="G79" s="92">
        <v>40</v>
      </c>
      <c r="H79" s="93">
        <v>0</v>
      </c>
      <c r="I79" s="93">
        <f t="shared" si="5"/>
        <v>7</v>
      </c>
      <c r="J79" s="93">
        <v>62</v>
      </c>
      <c r="K79" s="122">
        <v>59</v>
      </c>
      <c r="L79" s="93">
        <v>40</v>
      </c>
      <c r="M79" s="94">
        <v>46221</v>
      </c>
      <c r="N79" s="95">
        <f t="shared" si="8"/>
        <v>40</v>
      </c>
      <c r="O79" s="93">
        <f t="shared" si="6"/>
        <v>40</v>
      </c>
      <c r="P79" s="96">
        <f t="shared" si="7"/>
        <v>1600</v>
      </c>
      <c r="Q79" s="109" t="s">
        <v>167</v>
      </c>
      <c r="R79" s="119"/>
      <c r="S79" s="119"/>
      <c r="T79" s="97"/>
      <c r="U79" s="98"/>
    </row>
    <row r="80" spans="1:21" s="64" customFormat="1" ht="28" customHeight="1" x14ac:dyDescent="0.25">
      <c r="A80" s="73">
        <v>69</v>
      </c>
      <c r="B80" s="79" t="s">
        <v>245</v>
      </c>
      <c r="C80" s="79" t="s">
        <v>37</v>
      </c>
      <c r="D80" s="73" t="s">
        <v>246</v>
      </c>
      <c r="E80" s="73" t="s">
        <v>103</v>
      </c>
      <c r="F80" s="73" t="s">
        <v>167</v>
      </c>
      <c r="G80" s="92">
        <v>10</v>
      </c>
      <c r="H80" s="93">
        <v>7</v>
      </c>
      <c r="I80" s="93">
        <f t="shared" si="5"/>
        <v>0</v>
      </c>
      <c r="J80" s="93">
        <v>0</v>
      </c>
      <c r="K80" s="122">
        <v>12</v>
      </c>
      <c r="L80" s="93">
        <v>100</v>
      </c>
      <c r="M80" s="94">
        <v>45556</v>
      </c>
      <c r="N80" s="95">
        <f t="shared" si="8"/>
        <v>3</v>
      </c>
      <c r="O80" s="93">
        <f t="shared" si="6"/>
        <v>100</v>
      </c>
      <c r="P80" s="96">
        <f t="shared" si="7"/>
        <v>300</v>
      </c>
      <c r="Q80" s="109" t="s">
        <v>167</v>
      </c>
      <c r="R80" s="119"/>
      <c r="S80" s="119"/>
      <c r="T80" s="99"/>
      <c r="U80" s="100"/>
    </row>
    <row r="81" spans="1:21" s="64" customFormat="1" ht="28" customHeight="1" x14ac:dyDescent="0.25">
      <c r="A81" s="73">
        <v>70</v>
      </c>
      <c r="B81" s="79" t="s">
        <v>247</v>
      </c>
      <c r="C81" s="79" t="s">
        <v>37</v>
      </c>
      <c r="D81" s="73"/>
      <c r="E81" s="73" t="s">
        <v>42</v>
      </c>
      <c r="F81" s="73" t="s">
        <v>167</v>
      </c>
      <c r="G81" s="92">
        <v>60</v>
      </c>
      <c r="H81" s="93">
        <v>0</v>
      </c>
      <c r="I81" s="93">
        <f t="shared" si="5"/>
        <v>0</v>
      </c>
      <c r="J81" s="93">
        <v>0</v>
      </c>
      <c r="K81" s="122">
        <v>0</v>
      </c>
      <c r="L81" s="93">
        <v>0</v>
      </c>
      <c r="M81" s="94">
        <v>0</v>
      </c>
      <c r="N81" s="95">
        <f t="shared" si="8"/>
        <v>60</v>
      </c>
      <c r="O81" s="93">
        <f t="shared" si="6"/>
        <v>0</v>
      </c>
      <c r="P81" s="96">
        <f t="shared" si="7"/>
        <v>0</v>
      </c>
      <c r="Q81" s="109" t="s">
        <v>167</v>
      </c>
      <c r="R81" s="119"/>
      <c r="S81" s="119"/>
      <c r="T81" s="97"/>
      <c r="U81" s="98"/>
    </row>
    <row r="82" spans="1:21" s="64" customFormat="1" ht="28" customHeight="1" x14ac:dyDescent="0.25">
      <c r="A82" s="73">
        <v>71</v>
      </c>
      <c r="B82" s="79" t="s">
        <v>135</v>
      </c>
      <c r="C82" s="79" t="s">
        <v>43</v>
      </c>
      <c r="D82" s="73"/>
      <c r="E82" s="73" t="s">
        <v>103</v>
      </c>
      <c r="F82" s="73" t="s">
        <v>167</v>
      </c>
      <c r="G82" s="92">
        <v>4</v>
      </c>
      <c r="H82" s="93">
        <v>3</v>
      </c>
      <c r="I82" s="93">
        <f t="shared" si="5"/>
        <v>0</v>
      </c>
      <c r="J82" s="93">
        <v>0</v>
      </c>
      <c r="K82" s="122">
        <v>3</v>
      </c>
      <c r="L82" s="93">
        <v>210</v>
      </c>
      <c r="M82" s="94">
        <v>46222</v>
      </c>
      <c r="N82" s="95">
        <f t="shared" si="8"/>
        <v>1</v>
      </c>
      <c r="O82" s="93">
        <f t="shared" si="6"/>
        <v>210</v>
      </c>
      <c r="P82" s="96">
        <f t="shared" si="7"/>
        <v>210</v>
      </c>
      <c r="Q82" s="109" t="s">
        <v>167</v>
      </c>
      <c r="R82" s="119"/>
      <c r="S82" s="119"/>
      <c r="T82" s="99"/>
      <c r="U82" s="100"/>
    </row>
    <row r="83" spans="1:21" s="64" customFormat="1" ht="28" customHeight="1" x14ac:dyDescent="0.25">
      <c r="A83" s="73">
        <v>72</v>
      </c>
      <c r="B83" s="79" t="s">
        <v>136</v>
      </c>
      <c r="C83" s="79" t="s">
        <v>45</v>
      </c>
      <c r="D83" s="73"/>
      <c r="E83" s="73" t="s">
        <v>103</v>
      </c>
      <c r="F83" s="73" t="s">
        <v>168</v>
      </c>
      <c r="G83" s="92">
        <v>20</v>
      </c>
      <c r="H83" s="93">
        <v>0</v>
      </c>
      <c r="I83" s="93">
        <f t="shared" si="5"/>
        <v>2</v>
      </c>
      <c r="J83" s="93">
        <v>20</v>
      </c>
      <c r="K83" s="122">
        <v>20</v>
      </c>
      <c r="L83" s="93">
        <v>340</v>
      </c>
      <c r="M83" s="94">
        <v>46211</v>
      </c>
      <c r="N83" s="95">
        <f t="shared" si="8"/>
        <v>20</v>
      </c>
      <c r="O83" s="93">
        <f t="shared" si="6"/>
        <v>340</v>
      </c>
      <c r="P83" s="96">
        <f t="shared" si="7"/>
        <v>6800</v>
      </c>
      <c r="Q83" s="109" t="s">
        <v>353</v>
      </c>
      <c r="R83" s="119"/>
      <c r="S83" s="119"/>
      <c r="T83" s="99"/>
      <c r="U83" s="100"/>
    </row>
    <row r="84" spans="1:21" s="64" customFormat="1" ht="28" customHeight="1" x14ac:dyDescent="0.25">
      <c r="A84" s="73">
        <v>73</v>
      </c>
      <c r="B84" s="79" t="s">
        <v>169</v>
      </c>
      <c r="C84" s="79" t="s">
        <v>37</v>
      </c>
      <c r="D84" s="73" t="s">
        <v>279</v>
      </c>
      <c r="E84" s="73" t="s">
        <v>103</v>
      </c>
      <c r="F84" s="73" t="s">
        <v>168</v>
      </c>
      <c r="G84" s="92">
        <v>15</v>
      </c>
      <c r="H84" s="93">
        <v>0</v>
      </c>
      <c r="I84" s="93">
        <f t="shared" si="5"/>
        <v>2</v>
      </c>
      <c r="J84" s="93">
        <v>19</v>
      </c>
      <c r="K84" s="122">
        <v>37</v>
      </c>
      <c r="L84" s="93">
        <v>20</v>
      </c>
      <c r="M84" s="94">
        <v>46167</v>
      </c>
      <c r="N84" s="95">
        <f t="shared" si="8"/>
        <v>15</v>
      </c>
      <c r="O84" s="93">
        <f t="shared" si="6"/>
        <v>20</v>
      </c>
      <c r="P84" s="96">
        <f t="shared" si="7"/>
        <v>300</v>
      </c>
      <c r="Q84" s="109" t="s">
        <v>353</v>
      </c>
      <c r="R84" s="119"/>
      <c r="S84" s="119"/>
      <c r="T84" s="99"/>
      <c r="U84" s="100"/>
    </row>
    <row r="85" spans="1:21" s="64" customFormat="1" ht="28" customHeight="1" x14ac:dyDescent="0.25">
      <c r="A85" s="73">
        <v>74</v>
      </c>
      <c r="B85" s="79" t="s">
        <v>314</v>
      </c>
      <c r="C85" s="79" t="s">
        <v>37</v>
      </c>
      <c r="D85" s="73" t="s">
        <v>280</v>
      </c>
      <c r="E85" s="73" t="s">
        <v>42</v>
      </c>
      <c r="F85" s="73" t="s">
        <v>168</v>
      </c>
      <c r="G85" s="92">
        <v>15</v>
      </c>
      <c r="H85" s="93">
        <v>0</v>
      </c>
      <c r="I85" s="93">
        <f t="shared" si="5"/>
        <v>0</v>
      </c>
      <c r="J85" s="93">
        <v>0</v>
      </c>
      <c r="K85" s="122">
        <v>0</v>
      </c>
      <c r="L85" s="93">
        <v>0</v>
      </c>
      <c r="M85" s="94">
        <v>0</v>
      </c>
      <c r="N85" s="95">
        <f t="shared" si="8"/>
        <v>15</v>
      </c>
      <c r="O85" s="93">
        <f t="shared" si="6"/>
        <v>0</v>
      </c>
      <c r="P85" s="96">
        <f t="shared" si="7"/>
        <v>0</v>
      </c>
      <c r="Q85" s="109" t="s">
        <v>353</v>
      </c>
      <c r="R85" s="119"/>
      <c r="S85" s="119"/>
      <c r="T85" s="99"/>
      <c r="U85" s="100"/>
    </row>
    <row r="86" spans="1:21" s="64" customFormat="1" ht="28" customHeight="1" x14ac:dyDescent="0.25">
      <c r="A86" s="73">
        <v>75</v>
      </c>
      <c r="B86" s="79" t="s">
        <v>119</v>
      </c>
      <c r="C86" s="79" t="s">
        <v>37</v>
      </c>
      <c r="D86" s="73"/>
      <c r="E86" s="73" t="s">
        <v>103</v>
      </c>
      <c r="F86" s="73" t="s">
        <v>168</v>
      </c>
      <c r="G86" s="92">
        <v>10</v>
      </c>
      <c r="H86" s="93">
        <v>0</v>
      </c>
      <c r="I86" s="93">
        <f t="shared" si="5"/>
        <v>1</v>
      </c>
      <c r="J86" s="93">
        <v>10</v>
      </c>
      <c r="K86" s="122">
        <v>10</v>
      </c>
      <c r="L86" s="93">
        <v>25</v>
      </c>
      <c r="M86" s="94">
        <v>46210</v>
      </c>
      <c r="N86" s="95">
        <f t="shared" si="8"/>
        <v>10</v>
      </c>
      <c r="O86" s="93">
        <f t="shared" si="6"/>
        <v>25</v>
      </c>
      <c r="P86" s="96">
        <f t="shared" si="7"/>
        <v>250</v>
      </c>
      <c r="Q86" s="109" t="s">
        <v>353</v>
      </c>
      <c r="R86" s="119"/>
      <c r="S86" s="119"/>
      <c r="T86" s="99"/>
      <c r="U86" s="100"/>
    </row>
    <row r="87" spans="1:21" s="64" customFormat="1" ht="28" customHeight="1" x14ac:dyDescent="0.25">
      <c r="A87" s="73">
        <v>76</v>
      </c>
      <c r="B87" s="79" t="s">
        <v>170</v>
      </c>
      <c r="C87" s="79" t="s">
        <v>37</v>
      </c>
      <c r="D87" s="73" t="s">
        <v>281</v>
      </c>
      <c r="E87" s="73" t="s">
        <v>103</v>
      </c>
      <c r="F87" s="73" t="s">
        <v>168</v>
      </c>
      <c r="G87" s="92">
        <v>5</v>
      </c>
      <c r="H87" s="93">
        <v>0</v>
      </c>
      <c r="I87" s="93">
        <f t="shared" si="5"/>
        <v>0</v>
      </c>
      <c r="J87" s="93">
        <v>0</v>
      </c>
      <c r="K87" s="122">
        <v>6</v>
      </c>
      <c r="L87" s="93">
        <v>140</v>
      </c>
      <c r="M87" s="94">
        <v>45635</v>
      </c>
      <c r="N87" s="95">
        <f t="shared" si="8"/>
        <v>5</v>
      </c>
      <c r="O87" s="93">
        <f t="shared" si="6"/>
        <v>140</v>
      </c>
      <c r="P87" s="96">
        <f t="shared" si="7"/>
        <v>700</v>
      </c>
      <c r="Q87" s="109" t="s">
        <v>353</v>
      </c>
      <c r="R87" s="119"/>
      <c r="S87" s="119"/>
      <c r="T87" s="99"/>
      <c r="U87" s="100"/>
    </row>
    <row r="88" spans="1:21" s="64" customFormat="1" ht="28" customHeight="1" x14ac:dyDescent="0.25">
      <c r="A88" s="73">
        <v>77</v>
      </c>
      <c r="B88" s="79" t="s">
        <v>171</v>
      </c>
      <c r="C88" s="79" t="s">
        <v>37</v>
      </c>
      <c r="D88" s="73"/>
      <c r="E88" s="73" t="s">
        <v>103</v>
      </c>
      <c r="F88" s="73" t="s">
        <v>168</v>
      </c>
      <c r="G88" s="92">
        <v>5</v>
      </c>
      <c r="H88" s="93">
        <v>0</v>
      </c>
      <c r="I88" s="93">
        <f t="shared" si="5"/>
        <v>0</v>
      </c>
      <c r="J88" s="93">
        <v>0</v>
      </c>
      <c r="K88" s="122">
        <v>6</v>
      </c>
      <c r="L88" s="93">
        <v>150</v>
      </c>
      <c r="M88" s="94">
        <v>45635</v>
      </c>
      <c r="N88" s="95">
        <f t="shared" si="8"/>
        <v>5</v>
      </c>
      <c r="O88" s="93">
        <f t="shared" si="6"/>
        <v>150</v>
      </c>
      <c r="P88" s="96">
        <f t="shared" si="7"/>
        <v>750</v>
      </c>
      <c r="Q88" s="109" t="s">
        <v>353</v>
      </c>
      <c r="R88" s="119"/>
      <c r="S88" s="119"/>
      <c r="T88" s="99"/>
      <c r="U88" s="100"/>
    </row>
    <row r="89" spans="1:21" s="64" customFormat="1" ht="28" customHeight="1" x14ac:dyDescent="0.25">
      <c r="A89" s="73">
        <v>78</v>
      </c>
      <c r="B89" s="79" t="s">
        <v>174</v>
      </c>
      <c r="C89" s="79" t="s">
        <v>37</v>
      </c>
      <c r="D89" s="73"/>
      <c r="E89" s="73" t="s">
        <v>103</v>
      </c>
      <c r="F89" s="73" t="s">
        <v>168</v>
      </c>
      <c r="G89" s="92">
        <v>5</v>
      </c>
      <c r="H89" s="93">
        <v>0</v>
      </c>
      <c r="I89" s="93">
        <f t="shared" si="5"/>
        <v>0</v>
      </c>
      <c r="J89" s="93">
        <v>0</v>
      </c>
      <c r="K89" s="122">
        <v>0</v>
      </c>
      <c r="L89" s="93">
        <v>0</v>
      </c>
      <c r="M89" s="94">
        <v>0</v>
      </c>
      <c r="N89" s="95">
        <f t="shared" si="8"/>
        <v>5</v>
      </c>
      <c r="O89" s="93">
        <f t="shared" si="6"/>
        <v>0</v>
      </c>
      <c r="P89" s="96">
        <f t="shared" si="7"/>
        <v>0</v>
      </c>
      <c r="Q89" s="109" t="s">
        <v>353</v>
      </c>
      <c r="R89" s="119"/>
      <c r="S89" s="119"/>
      <c r="T89" s="99"/>
      <c r="U89" s="100"/>
    </row>
    <row r="90" spans="1:21" s="64" customFormat="1" ht="28" customHeight="1" x14ac:dyDescent="0.25">
      <c r="A90" s="73">
        <v>79</v>
      </c>
      <c r="B90" s="79" t="s">
        <v>172</v>
      </c>
      <c r="C90" s="79" t="s">
        <v>37</v>
      </c>
      <c r="D90" s="73"/>
      <c r="E90" s="73" t="s">
        <v>103</v>
      </c>
      <c r="F90" s="73" t="s">
        <v>168</v>
      </c>
      <c r="G90" s="92">
        <v>5</v>
      </c>
      <c r="H90" s="93">
        <v>0</v>
      </c>
      <c r="I90" s="93">
        <f t="shared" si="5"/>
        <v>0</v>
      </c>
      <c r="J90" s="93">
        <v>0</v>
      </c>
      <c r="K90" s="122">
        <v>1</v>
      </c>
      <c r="L90" s="93">
        <v>170</v>
      </c>
      <c r="M90" s="94">
        <v>45635</v>
      </c>
      <c r="N90" s="95">
        <f t="shared" si="8"/>
        <v>5</v>
      </c>
      <c r="O90" s="93">
        <f t="shared" si="6"/>
        <v>170</v>
      </c>
      <c r="P90" s="96">
        <f t="shared" si="7"/>
        <v>850</v>
      </c>
      <c r="Q90" s="109" t="s">
        <v>353</v>
      </c>
      <c r="R90" s="119"/>
      <c r="S90" s="119"/>
      <c r="T90" s="99"/>
      <c r="U90" s="100"/>
    </row>
    <row r="91" spans="1:21" s="64" customFormat="1" ht="28" customHeight="1" x14ac:dyDescent="0.25">
      <c r="A91" s="73">
        <v>80</v>
      </c>
      <c r="B91" s="79" t="s">
        <v>173</v>
      </c>
      <c r="C91" s="79" t="s">
        <v>37</v>
      </c>
      <c r="D91" s="73"/>
      <c r="E91" s="73" t="s">
        <v>103</v>
      </c>
      <c r="F91" s="73" t="s">
        <v>168</v>
      </c>
      <c r="G91" s="92">
        <v>5</v>
      </c>
      <c r="H91" s="93">
        <v>0</v>
      </c>
      <c r="I91" s="93">
        <f t="shared" si="5"/>
        <v>0</v>
      </c>
      <c r="J91" s="93">
        <v>0</v>
      </c>
      <c r="K91" s="122">
        <v>1</v>
      </c>
      <c r="L91" s="93">
        <v>170</v>
      </c>
      <c r="M91" s="94">
        <v>45635</v>
      </c>
      <c r="N91" s="95">
        <f t="shared" si="8"/>
        <v>5</v>
      </c>
      <c r="O91" s="93">
        <f t="shared" si="6"/>
        <v>170</v>
      </c>
      <c r="P91" s="96">
        <f t="shared" si="7"/>
        <v>850</v>
      </c>
      <c r="Q91" s="109" t="s">
        <v>353</v>
      </c>
      <c r="R91" s="119"/>
      <c r="S91" s="119"/>
      <c r="T91" s="99"/>
      <c r="U91" s="100"/>
    </row>
    <row r="92" spans="1:21" s="64" customFormat="1" ht="28" customHeight="1" x14ac:dyDescent="0.25">
      <c r="A92" s="73">
        <v>81</v>
      </c>
      <c r="B92" s="79" t="s">
        <v>120</v>
      </c>
      <c r="C92" s="79" t="s">
        <v>37</v>
      </c>
      <c r="D92" s="73" t="s">
        <v>175</v>
      </c>
      <c r="E92" s="73" t="s">
        <v>103</v>
      </c>
      <c r="F92" s="73" t="s">
        <v>168</v>
      </c>
      <c r="G92" s="92">
        <v>30</v>
      </c>
      <c r="H92" s="93">
        <v>0</v>
      </c>
      <c r="I92" s="93">
        <f t="shared" si="5"/>
        <v>2</v>
      </c>
      <c r="J92" s="93">
        <v>15</v>
      </c>
      <c r="K92" s="122">
        <v>15</v>
      </c>
      <c r="L92" s="93">
        <v>10</v>
      </c>
      <c r="M92" s="94">
        <v>46203</v>
      </c>
      <c r="N92" s="95">
        <f t="shared" si="8"/>
        <v>30</v>
      </c>
      <c r="O92" s="93">
        <f t="shared" si="6"/>
        <v>10</v>
      </c>
      <c r="P92" s="96">
        <f t="shared" si="7"/>
        <v>300</v>
      </c>
      <c r="Q92" s="109" t="s">
        <v>353</v>
      </c>
      <c r="R92" s="119"/>
      <c r="S92" s="119"/>
      <c r="T92" s="99"/>
      <c r="U92" s="100"/>
    </row>
    <row r="93" spans="1:21" s="64" customFormat="1" ht="28" customHeight="1" x14ac:dyDescent="0.25">
      <c r="A93" s="73">
        <v>82</v>
      </c>
      <c r="B93" s="79" t="s">
        <v>282</v>
      </c>
      <c r="C93" s="79" t="s">
        <v>37</v>
      </c>
      <c r="D93" s="73" t="s">
        <v>283</v>
      </c>
      <c r="E93" s="73" t="s">
        <v>42</v>
      </c>
      <c r="F93" s="73" t="s">
        <v>168</v>
      </c>
      <c r="G93" s="92">
        <v>2</v>
      </c>
      <c r="H93" s="93">
        <v>0</v>
      </c>
      <c r="I93" s="93">
        <f t="shared" si="5"/>
        <v>0</v>
      </c>
      <c r="J93" s="93">
        <v>1</v>
      </c>
      <c r="K93" s="122">
        <v>1</v>
      </c>
      <c r="L93" s="93">
        <v>600</v>
      </c>
      <c r="M93" s="94">
        <v>46219</v>
      </c>
      <c r="N93" s="95">
        <f t="shared" si="8"/>
        <v>2</v>
      </c>
      <c r="O93" s="93">
        <f t="shared" si="6"/>
        <v>600</v>
      </c>
      <c r="P93" s="96">
        <f t="shared" si="7"/>
        <v>1200</v>
      </c>
      <c r="Q93" s="109" t="s">
        <v>353</v>
      </c>
      <c r="R93" s="119"/>
      <c r="S93" s="119"/>
      <c r="T93" s="99"/>
      <c r="U93" s="100"/>
    </row>
    <row r="94" spans="1:21" s="64" customFormat="1" ht="28" customHeight="1" x14ac:dyDescent="0.25">
      <c r="A94" s="73">
        <v>83</v>
      </c>
      <c r="B94" s="79" t="s">
        <v>284</v>
      </c>
      <c r="C94" s="79" t="s">
        <v>37</v>
      </c>
      <c r="D94" s="73" t="s">
        <v>279</v>
      </c>
      <c r="E94" s="73" t="s">
        <v>103</v>
      </c>
      <c r="F94" s="73" t="s">
        <v>168</v>
      </c>
      <c r="G94" s="92">
        <v>5</v>
      </c>
      <c r="H94" s="93">
        <v>0</v>
      </c>
      <c r="I94" s="93">
        <f t="shared" si="5"/>
        <v>0</v>
      </c>
      <c r="J94" s="93">
        <v>0</v>
      </c>
      <c r="K94" s="122">
        <v>5</v>
      </c>
      <c r="L94" s="93">
        <v>650</v>
      </c>
      <c r="M94" s="94">
        <v>46119</v>
      </c>
      <c r="N94" s="95">
        <f t="shared" si="8"/>
        <v>5</v>
      </c>
      <c r="O94" s="93">
        <f t="shared" si="6"/>
        <v>650</v>
      </c>
      <c r="P94" s="96">
        <f t="shared" si="7"/>
        <v>3250</v>
      </c>
      <c r="Q94" s="109" t="s">
        <v>353</v>
      </c>
      <c r="R94" s="119"/>
      <c r="S94" s="119"/>
      <c r="T94" s="99"/>
      <c r="U94" s="100"/>
    </row>
    <row r="95" spans="1:21" s="64" customFormat="1" ht="28" customHeight="1" x14ac:dyDescent="0.25">
      <c r="A95" s="73">
        <v>84</v>
      </c>
      <c r="B95" s="79" t="s">
        <v>285</v>
      </c>
      <c r="C95" s="79" t="s">
        <v>37</v>
      </c>
      <c r="D95" s="73" t="s">
        <v>286</v>
      </c>
      <c r="E95" s="73" t="s">
        <v>103</v>
      </c>
      <c r="F95" s="73" t="s">
        <v>168</v>
      </c>
      <c r="G95" s="92">
        <v>5</v>
      </c>
      <c r="H95" s="93">
        <v>0</v>
      </c>
      <c r="I95" s="93">
        <f t="shared" si="5"/>
        <v>0</v>
      </c>
      <c r="J95" s="93">
        <v>0</v>
      </c>
      <c r="K95" s="122">
        <v>5</v>
      </c>
      <c r="L95" s="93">
        <v>650</v>
      </c>
      <c r="M95" s="94">
        <v>46119</v>
      </c>
      <c r="N95" s="95">
        <f t="shared" si="8"/>
        <v>5</v>
      </c>
      <c r="O95" s="93">
        <f t="shared" si="6"/>
        <v>650</v>
      </c>
      <c r="P95" s="96">
        <f t="shared" si="7"/>
        <v>3250</v>
      </c>
      <c r="Q95" s="109" t="s">
        <v>353</v>
      </c>
      <c r="R95" s="119"/>
      <c r="S95" s="119"/>
      <c r="T95" s="99"/>
      <c r="U95" s="100"/>
    </row>
    <row r="96" spans="1:21" s="64" customFormat="1" ht="28" customHeight="1" x14ac:dyDescent="0.25">
      <c r="A96" s="73">
        <v>85</v>
      </c>
      <c r="B96" s="79" t="s">
        <v>287</v>
      </c>
      <c r="C96" s="79" t="s">
        <v>37</v>
      </c>
      <c r="D96" s="73" t="s">
        <v>279</v>
      </c>
      <c r="E96" s="73" t="s">
        <v>103</v>
      </c>
      <c r="F96" s="73" t="s">
        <v>168</v>
      </c>
      <c r="G96" s="92">
        <v>5</v>
      </c>
      <c r="H96" s="93">
        <v>0</v>
      </c>
      <c r="I96" s="93">
        <f t="shared" si="5"/>
        <v>0</v>
      </c>
      <c r="J96" s="93">
        <v>0</v>
      </c>
      <c r="K96" s="122">
        <v>5</v>
      </c>
      <c r="L96" s="93">
        <v>850</v>
      </c>
      <c r="M96" s="94">
        <v>46119</v>
      </c>
      <c r="N96" s="95">
        <f t="shared" si="8"/>
        <v>5</v>
      </c>
      <c r="O96" s="93">
        <f t="shared" si="6"/>
        <v>850</v>
      </c>
      <c r="P96" s="96">
        <f t="shared" si="7"/>
        <v>4250</v>
      </c>
      <c r="Q96" s="109" t="s">
        <v>353</v>
      </c>
      <c r="R96" s="119"/>
      <c r="S96" s="119"/>
      <c r="T96" s="99"/>
      <c r="U96" s="100"/>
    </row>
    <row r="97" spans="1:21" s="64" customFormat="1" ht="28" customHeight="1" x14ac:dyDescent="0.25">
      <c r="A97" s="73">
        <v>86</v>
      </c>
      <c r="B97" s="79" t="s">
        <v>130</v>
      </c>
      <c r="C97" s="79" t="s">
        <v>37</v>
      </c>
      <c r="D97" s="73"/>
      <c r="E97" s="73" t="s">
        <v>103</v>
      </c>
      <c r="F97" s="73" t="s">
        <v>168</v>
      </c>
      <c r="G97" s="92">
        <v>150</v>
      </c>
      <c r="H97" s="93">
        <v>0</v>
      </c>
      <c r="I97" s="93">
        <f t="shared" si="5"/>
        <v>5</v>
      </c>
      <c r="J97" s="93">
        <v>40</v>
      </c>
      <c r="K97" s="122">
        <v>100</v>
      </c>
      <c r="L97" s="93">
        <v>19</v>
      </c>
      <c r="M97" s="94">
        <v>46203</v>
      </c>
      <c r="N97" s="95">
        <f t="shared" si="8"/>
        <v>150</v>
      </c>
      <c r="O97" s="93">
        <f t="shared" si="6"/>
        <v>19</v>
      </c>
      <c r="P97" s="96">
        <f t="shared" si="7"/>
        <v>2850</v>
      </c>
      <c r="Q97" s="109" t="s">
        <v>353</v>
      </c>
      <c r="R97" s="119"/>
      <c r="S97" s="119"/>
      <c r="T97" s="99"/>
      <c r="U97" s="100"/>
    </row>
    <row r="98" spans="1:21" s="64" customFormat="1" ht="28" customHeight="1" x14ac:dyDescent="0.25">
      <c r="A98" s="73">
        <v>87</v>
      </c>
      <c r="B98" s="79" t="s">
        <v>288</v>
      </c>
      <c r="C98" s="79" t="s">
        <v>37</v>
      </c>
      <c r="D98" s="73" t="s">
        <v>286</v>
      </c>
      <c r="E98" s="73" t="s">
        <v>103</v>
      </c>
      <c r="F98" s="73" t="s">
        <v>168</v>
      </c>
      <c r="G98" s="92">
        <v>5</v>
      </c>
      <c r="H98" s="93">
        <v>0</v>
      </c>
      <c r="I98" s="93">
        <f t="shared" si="5"/>
        <v>0</v>
      </c>
      <c r="J98" s="93">
        <v>0</v>
      </c>
      <c r="K98" s="122">
        <v>5</v>
      </c>
      <c r="L98" s="93">
        <v>450</v>
      </c>
      <c r="M98" s="94">
        <v>46119</v>
      </c>
      <c r="N98" s="95">
        <f t="shared" si="8"/>
        <v>5</v>
      </c>
      <c r="O98" s="93">
        <f t="shared" si="6"/>
        <v>450</v>
      </c>
      <c r="P98" s="96">
        <f t="shared" si="7"/>
        <v>2250</v>
      </c>
      <c r="Q98" s="109" t="s">
        <v>353</v>
      </c>
      <c r="R98" s="119"/>
      <c r="S98" s="119"/>
      <c r="T98" s="99"/>
      <c r="U98" s="100"/>
    </row>
    <row r="99" spans="1:21" s="64" customFormat="1" ht="28" customHeight="1" x14ac:dyDescent="0.25">
      <c r="A99" s="73">
        <v>88</v>
      </c>
      <c r="B99" s="79" t="s">
        <v>289</v>
      </c>
      <c r="C99" s="79" t="s">
        <v>37</v>
      </c>
      <c r="D99" s="73"/>
      <c r="E99" s="73" t="s">
        <v>42</v>
      </c>
      <c r="F99" s="73" t="s">
        <v>168</v>
      </c>
      <c r="G99" s="92">
        <v>2</v>
      </c>
      <c r="H99" s="93">
        <v>0</v>
      </c>
      <c r="I99" s="93">
        <f t="shared" si="5"/>
        <v>0</v>
      </c>
      <c r="J99" s="93">
        <v>0</v>
      </c>
      <c r="K99" s="122">
        <v>0</v>
      </c>
      <c r="L99" s="93">
        <v>0</v>
      </c>
      <c r="M99" s="94">
        <v>0</v>
      </c>
      <c r="N99" s="95">
        <f t="shared" si="8"/>
        <v>2</v>
      </c>
      <c r="O99" s="93">
        <f t="shared" si="6"/>
        <v>0</v>
      </c>
      <c r="P99" s="96">
        <f t="shared" si="7"/>
        <v>0</v>
      </c>
      <c r="Q99" s="109" t="s">
        <v>353</v>
      </c>
      <c r="R99" s="119"/>
      <c r="S99" s="119"/>
      <c r="T99" s="99"/>
      <c r="U99" s="100"/>
    </row>
    <row r="100" spans="1:21" s="64" customFormat="1" ht="28" customHeight="1" x14ac:dyDescent="0.25">
      <c r="A100" s="73">
        <v>89</v>
      </c>
      <c r="B100" s="79" t="s">
        <v>290</v>
      </c>
      <c r="C100" s="79" t="s">
        <v>37</v>
      </c>
      <c r="D100" s="73" t="s">
        <v>291</v>
      </c>
      <c r="E100" s="73" t="s">
        <v>103</v>
      </c>
      <c r="F100" s="73" t="s">
        <v>168</v>
      </c>
      <c r="G100" s="92">
        <v>2</v>
      </c>
      <c r="H100" s="93">
        <v>0</v>
      </c>
      <c r="I100" s="93">
        <f t="shared" si="5"/>
        <v>0</v>
      </c>
      <c r="J100" s="93">
        <v>0</v>
      </c>
      <c r="K100" s="122">
        <v>5</v>
      </c>
      <c r="L100" s="93">
        <v>5</v>
      </c>
      <c r="M100" s="94">
        <v>46167</v>
      </c>
      <c r="N100" s="95">
        <f t="shared" si="8"/>
        <v>2</v>
      </c>
      <c r="O100" s="93">
        <f t="shared" si="6"/>
        <v>5</v>
      </c>
      <c r="P100" s="96">
        <f t="shared" si="7"/>
        <v>10</v>
      </c>
      <c r="Q100" s="109" t="s">
        <v>353</v>
      </c>
      <c r="R100" s="119"/>
      <c r="S100" s="119"/>
      <c r="T100" s="99"/>
      <c r="U100" s="100"/>
    </row>
    <row r="101" spans="1:21" s="64" customFormat="1" ht="28" customHeight="1" x14ac:dyDescent="0.25">
      <c r="A101" s="73">
        <v>90</v>
      </c>
      <c r="B101" s="79" t="s">
        <v>122</v>
      </c>
      <c r="C101" s="79" t="s">
        <v>37</v>
      </c>
      <c r="D101" s="73" t="s">
        <v>102</v>
      </c>
      <c r="E101" s="73" t="s">
        <v>103</v>
      </c>
      <c r="F101" s="73" t="s">
        <v>168</v>
      </c>
      <c r="G101" s="92">
        <v>30</v>
      </c>
      <c r="H101" s="93">
        <v>0</v>
      </c>
      <c r="I101" s="93">
        <f t="shared" si="5"/>
        <v>4</v>
      </c>
      <c r="J101" s="93">
        <v>36</v>
      </c>
      <c r="K101" s="122">
        <v>7</v>
      </c>
      <c r="L101" s="93">
        <v>118</v>
      </c>
      <c r="M101" s="94">
        <v>46215</v>
      </c>
      <c r="N101" s="95">
        <f t="shared" si="8"/>
        <v>30</v>
      </c>
      <c r="O101" s="93">
        <f t="shared" si="6"/>
        <v>118</v>
      </c>
      <c r="P101" s="96">
        <f t="shared" si="7"/>
        <v>3540</v>
      </c>
      <c r="Q101" s="109" t="s">
        <v>353</v>
      </c>
      <c r="R101" s="119"/>
      <c r="S101" s="119"/>
      <c r="T101" s="99"/>
      <c r="U101" s="100"/>
    </row>
    <row r="102" spans="1:21" s="64" customFormat="1" ht="28" customHeight="1" x14ac:dyDescent="0.25">
      <c r="A102" s="73">
        <v>91</v>
      </c>
      <c r="B102" s="79" t="s">
        <v>101</v>
      </c>
      <c r="C102" s="79" t="s">
        <v>87</v>
      </c>
      <c r="D102" s="73"/>
      <c r="E102" s="73" t="s">
        <v>103</v>
      </c>
      <c r="F102" s="73" t="s">
        <v>168</v>
      </c>
      <c r="G102" s="92">
        <v>3</v>
      </c>
      <c r="H102" s="93">
        <v>0</v>
      </c>
      <c r="I102" s="93">
        <f t="shared" si="5"/>
        <v>0</v>
      </c>
      <c r="J102" s="93">
        <v>1</v>
      </c>
      <c r="K102" s="122">
        <v>1</v>
      </c>
      <c r="L102" s="93">
        <v>2400</v>
      </c>
      <c r="M102" s="94">
        <v>46202</v>
      </c>
      <c r="N102" s="95">
        <f t="shared" si="8"/>
        <v>3</v>
      </c>
      <c r="O102" s="93">
        <f t="shared" si="6"/>
        <v>2400</v>
      </c>
      <c r="P102" s="96">
        <f t="shared" si="7"/>
        <v>7200</v>
      </c>
      <c r="Q102" s="109" t="s">
        <v>353</v>
      </c>
      <c r="R102" s="119"/>
      <c r="S102" s="119"/>
      <c r="T102" s="99"/>
      <c r="U102" s="100"/>
    </row>
    <row r="103" spans="1:21" s="64" customFormat="1" ht="28" customHeight="1" x14ac:dyDescent="0.25">
      <c r="A103" s="73">
        <v>92</v>
      </c>
      <c r="B103" s="79" t="s">
        <v>91</v>
      </c>
      <c r="C103" s="79" t="s">
        <v>37</v>
      </c>
      <c r="D103" s="73" t="s">
        <v>102</v>
      </c>
      <c r="E103" s="73" t="s">
        <v>103</v>
      </c>
      <c r="F103" s="73" t="s">
        <v>168</v>
      </c>
      <c r="G103" s="92">
        <v>50</v>
      </c>
      <c r="H103" s="93">
        <v>40</v>
      </c>
      <c r="I103" s="93">
        <f t="shared" si="5"/>
        <v>2</v>
      </c>
      <c r="J103" s="93">
        <v>20</v>
      </c>
      <c r="K103" s="122">
        <v>30</v>
      </c>
      <c r="L103" s="93">
        <v>16</v>
      </c>
      <c r="M103" s="94">
        <v>46215</v>
      </c>
      <c r="N103" s="95">
        <f t="shared" si="8"/>
        <v>10</v>
      </c>
      <c r="O103" s="93">
        <f t="shared" si="6"/>
        <v>16</v>
      </c>
      <c r="P103" s="96">
        <f t="shared" si="7"/>
        <v>160</v>
      </c>
      <c r="Q103" s="109" t="s">
        <v>353</v>
      </c>
      <c r="R103" s="119"/>
      <c r="S103" s="119"/>
      <c r="T103" s="99"/>
      <c r="U103" s="100"/>
    </row>
    <row r="104" spans="1:21" s="64" customFormat="1" ht="28" customHeight="1" x14ac:dyDescent="0.25">
      <c r="A104" s="73">
        <v>93</v>
      </c>
      <c r="B104" s="79" t="s">
        <v>176</v>
      </c>
      <c r="C104" s="79" t="s">
        <v>37</v>
      </c>
      <c r="D104" s="73" t="s">
        <v>177</v>
      </c>
      <c r="E104" s="73" t="s">
        <v>103</v>
      </c>
      <c r="F104" s="73" t="s">
        <v>168</v>
      </c>
      <c r="G104" s="92">
        <v>10</v>
      </c>
      <c r="H104" s="93">
        <v>1</v>
      </c>
      <c r="I104" s="93">
        <f t="shared" si="5"/>
        <v>0</v>
      </c>
      <c r="J104" s="93">
        <v>0</v>
      </c>
      <c r="K104" s="122">
        <v>1</v>
      </c>
      <c r="L104" s="93">
        <v>100</v>
      </c>
      <c r="M104" s="94">
        <v>46163</v>
      </c>
      <c r="N104" s="95">
        <f t="shared" si="8"/>
        <v>9</v>
      </c>
      <c r="O104" s="93">
        <f t="shared" si="6"/>
        <v>100</v>
      </c>
      <c r="P104" s="96">
        <f t="shared" si="7"/>
        <v>900</v>
      </c>
      <c r="Q104" s="109" t="s">
        <v>353</v>
      </c>
      <c r="R104" s="119"/>
      <c r="S104" s="119"/>
      <c r="T104" s="99"/>
      <c r="U104" s="100"/>
    </row>
    <row r="105" spans="1:21" s="64" customFormat="1" ht="28" customHeight="1" x14ac:dyDescent="0.25">
      <c r="A105" s="73">
        <v>94</v>
      </c>
      <c r="B105" s="79" t="s">
        <v>75</v>
      </c>
      <c r="C105" s="79" t="s">
        <v>37</v>
      </c>
      <c r="D105" s="73" t="s">
        <v>76</v>
      </c>
      <c r="E105" s="73" t="s">
        <v>42</v>
      </c>
      <c r="F105" s="73" t="s">
        <v>168</v>
      </c>
      <c r="G105" s="92">
        <v>10</v>
      </c>
      <c r="H105" s="93">
        <v>0</v>
      </c>
      <c r="I105" s="93">
        <f t="shared" si="5"/>
        <v>0</v>
      </c>
      <c r="J105" s="93">
        <v>0</v>
      </c>
      <c r="K105" s="122">
        <v>0</v>
      </c>
      <c r="L105" s="93">
        <v>0</v>
      </c>
      <c r="M105" s="94">
        <v>0</v>
      </c>
      <c r="N105" s="95">
        <f t="shared" si="8"/>
        <v>10</v>
      </c>
      <c r="O105" s="93">
        <f t="shared" si="6"/>
        <v>0</v>
      </c>
      <c r="P105" s="96">
        <f t="shared" si="7"/>
        <v>0</v>
      </c>
      <c r="Q105" s="109" t="s">
        <v>353</v>
      </c>
      <c r="R105" s="119"/>
      <c r="S105" s="119"/>
      <c r="T105" s="99"/>
      <c r="U105" s="100"/>
    </row>
    <row r="106" spans="1:21" s="64" customFormat="1" ht="28" customHeight="1" x14ac:dyDescent="0.25">
      <c r="A106" s="73">
        <v>95</v>
      </c>
      <c r="B106" s="79" t="s">
        <v>86</v>
      </c>
      <c r="C106" s="79" t="s">
        <v>37</v>
      </c>
      <c r="D106" s="73" t="s">
        <v>77</v>
      </c>
      <c r="E106" s="73" t="s">
        <v>103</v>
      </c>
      <c r="F106" s="73" t="s">
        <v>168</v>
      </c>
      <c r="G106" s="92">
        <v>40</v>
      </c>
      <c r="H106" s="93">
        <v>0</v>
      </c>
      <c r="I106" s="93">
        <f t="shared" si="5"/>
        <v>3</v>
      </c>
      <c r="J106" s="93">
        <v>25</v>
      </c>
      <c r="K106" s="122">
        <v>7</v>
      </c>
      <c r="L106" s="93">
        <v>150</v>
      </c>
      <c r="M106" s="94">
        <v>46201</v>
      </c>
      <c r="N106" s="95">
        <f t="shared" si="8"/>
        <v>40</v>
      </c>
      <c r="O106" s="93">
        <f t="shared" si="6"/>
        <v>150</v>
      </c>
      <c r="P106" s="96">
        <f t="shared" si="7"/>
        <v>6000</v>
      </c>
      <c r="Q106" s="109" t="s">
        <v>353</v>
      </c>
      <c r="R106" s="119"/>
      <c r="S106" s="119"/>
      <c r="T106" s="99"/>
      <c r="U106" s="100"/>
    </row>
    <row r="107" spans="1:21" s="64" customFormat="1" ht="28" customHeight="1" x14ac:dyDescent="0.25">
      <c r="A107" s="73">
        <v>96</v>
      </c>
      <c r="B107" s="79" t="s">
        <v>292</v>
      </c>
      <c r="C107" s="79" t="s">
        <v>37</v>
      </c>
      <c r="D107" s="73" t="s">
        <v>293</v>
      </c>
      <c r="E107" s="73" t="s">
        <v>103</v>
      </c>
      <c r="F107" s="73" t="s">
        <v>168</v>
      </c>
      <c r="G107" s="92">
        <v>20</v>
      </c>
      <c r="H107" s="93">
        <v>13</v>
      </c>
      <c r="I107" s="93">
        <f t="shared" si="5"/>
        <v>0</v>
      </c>
      <c r="J107" s="93">
        <v>4</v>
      </c>
      <c r="K107" s="122">
        <v>6</v>
      </c>
      <c r="L107" s="93">
        <v>280</v>
      </c>
      <c r="M107" s="94">
        <v>46201</v>
      </c>
      <c r="N107" s="95">
        <f t="shared" si="8"/>
        <v>7</v>
      </c>
      <c r="O107" s="93">
        <f t="shared" si="6"/>
        <v>280</v>
      </c>
      <c r="P107" s="96">
        <f t="shared" si="7"/>
        <v>1960</v>
      </c>
      <c r="Q107" s="109" t="s">
        <v>353</v>
      </c>
      <c r="R107" s="119"/>
      <c r="S107" s="119"/>
      <c r="T107" s="99"/>
      <c r="U107" s="100"/>
    </row>
    <row r="108" spans="1:21" s="64" customFormat="1" ht="28" customHeight="1" x14ac:dyDescent="0.25">
      <c r="A108" s="73">
        <v>97</v>
      </c>
      <c r="B108" s="79" t="s">
        <v>294</v>
      </c>
      <c r="C108" s="79" t="s">
        <v>37</v>
      </c>
      <c r="D108" s="73" t="s">
        <v>295</v>
      </c>
      <c r="E108" s="73" t="s">
        <v>103</v>
      </c>
      <c r="F108" s="73" t="s">
        <v>168</v>
      </c>
      <c r="G108" s="92">
        <v>300</v>
      </c>
      <c r="H108" s="93">
        <v>140</v>
      </c>
      <c r="I108" s="93">
        <f t="shared" si="5"/>
        <v>35</v>
      </c>
      <c r="J108" s="93">
        <v>300</v>
      </c>
      <c r="K108" s="122">
        <v>483</v>
      </c>
      <c r="L108" s="93">
        <v>3</v>
      </c>
      <c r="M108" s="94">
        <v>46202</v>
      </c>
      <c r="N108" s="95">
        <f t="shared" ref="N108:N139" si="9">G108-H108</f>
        <v>160</v>
      </c>
      <c r="O108" s="93">
        <f t="shared" si="6"/>
        <v>3</v>
      </c>
      <c r="P108" s="96">
        <f t="shared" si="7"/>
        <v>480</v>
      </c>
      <c r="Q108" s="109" t="s">
        <v>353</v>
      </c>
      <c r="R108" s="119"/>
      <c r="S108" s="119"/>
      <c r="T108" s="99"/>
      <c r="U108" s="100"/>
    </row>
    <row r="109" spans="1:21" s="64" customFormat="1" ht="28" customHeight="1" x14ac:dyDescent="0.25">
      <c r="A109" s="73">
        <v>98</v>
      </c>
      <c r="B109" s="79" t="s">
        <v>315</v>
      </c>
      <c r="C109" s="79" t="s">
        <v>37</v>
      </c>
      <c r="D109" s="73" t="s">
        <v>144</v>
      </c>
      <c r="E109" s="73" t="s">
        <v>42</v>
      </c>
      <c r="F109" s="73" t="s">
        <v>168</v>
      </c>
      <c r="G109" s="92">
        <v>20</v>
      </c>
      <c r="H109" s="93">
        <v>0</v>
      </c>
      <c r="I109" s="93">
        <f t="shared" si="5"/>
        <v>0</v>
      </c>
      <c r="J109" s="93">
        <v>0</v>
      </c>
      <c r="K109" s="122">
        <v>0</v>
      </c>
      <c r="L109" s="93">
        <v>0</v>
      </c>
      <c r="M109" s="94">
        <v>0</v>
      </c>
      <c r="N109" s="95">
        <f t="shared" si="9"/>
        <v>20</v>
      </c>
      <c r="O109" s="93">
        <f t="shared" si="6"/>
        <v>0</v>
      </c>
      <c r="P109" s="96">
        <f t="shared" si="7"/>
        <v>0</v>
      </c>
      <c r="Q109" s="109" t="s">
        <v>353</v>
      </c>
      <c r="R109" s="119"/>
      <c r="S109" s="119"/>
      <c r="T109" s="99"/>
      <c r="U109" s="100"/>
    </row>
    <row r="110" spans="1:21" s="64" customFormat="1" ht="28" customHeight="1" x14ac:dyDescent="0.25">
      <c r="A110" s="73">
        <v>99</v>
      </c>
      <c r="B110" s="79" t="s">
        <v>316</v>
      </c>
      <c r="C110" s="79" t="s">
        <v>37</v>
      </c>
      <c r="D110" s="73" t="s">
        <v>145</v>
      </c>
      <c r="E110" s="73" t="s">
        <v>42</v>
      </c>
      <c r="F110" s="73" t="s">
        <v>168</v>
      </c>
      <c r="G110" s="92">
        <v>20</v>
      </c>
      <c r="H110" s="93">
        <v>0</v>
      </c>
      <c r="I110" s="93">
        <f t="shared" si="5"/>
        <v>0</v>
      </c>
      <c r="J110" s="93">
        <v>0</v>
      </c>
      <c r="K110" s="122">
        <v>0</v>
      </c>
      <c r="L110" s="93">
        <v>0</v>
      </c>
      <c r="M110" s="94">
        <v>0</v>
      </c>
      <c r="N110" s="95">
        <f t="shared" si="9"/>
        <v>20</v>
      </c>
      <c r="O110" s="93">
        <f t="shared" si="6"/>
        <v>0</v>
      </c>
      <c r="P110" s="96">
        <f t="shared" si="7"/>
        <v>0</v>
      </c>
      <c r="Q110" s="109" t="s">
        <v>353</v>
      </c>
      <c r="R110" s="119"/>
      <c r="S110" s="119"/>
      <c r="T110" s="99"/>
      <c r="U110" s="100"/>
    </row>
    <row r="111" spans="1:21" s="64" customFormat="1" ht="28" customHeight="1" x14ac:dyDescent="0.25">
      <c r="A111" s="73">
        <v>100</v>
      </c>
      <c r="B111" s="79" t="s">
        <v>178</v>
      </c>
      <c r="C111" s="79" t="s">
        <v>37</v>
      </c>
      <c r="D111" s="73"/>
      <c r="E111" s="73" t="s">
        <v>42</v>
      </c>
      <c r="F111" s="73" t="s">
        <v>168</v>
      </c>
      <c r="G111" s="92">
        <v>1</v>
      </c>
      <c r="H111" s="93">
        <v>0</v>
      </c>
      <c r="I111" s="93">
        <f t="shared" si="5"/>
        <v>0</v>
      </c>
      <c r="J111" s="93">
        <v>0</v>
      </c>
      <c r="K111" s="122">
        <v>0</v>
      </c>
      <c r="L111" s="93">
        <v>0</v>
      </c>
      <c r="M111" s="94">
        <v>0</v>
      </c>
      <c r="N111" s="95">
        <f t="shared" si="9"/>
        <v>1</v>
      </c>
      <c r="O111" s="93">
        <f t="shared" si="6"/>
        <v>0</v>
      </c>
      <c r="P111" s="96">
        <f t="shared" si="7"/>
        <v>0</v>
      </c>
      <c r="Q111" s="109" t="s">
        <v>353</v>
      </c>
      <c r="R111" s="119"/>
      <c r="S111" s="119"/>
      <c r="T111" s="99"/>
      <c r="U111" s="100"/>
    </row>
    <row r="112" spans="1:21" s="64" customFormat="1" ht="28" customHeight="1" x14ac:dyDescent="0.25">
      <c r="A112" s="73">
        <v>101</v>
      </c>
      <c r="B112" s="79" t="s">
        <v>296</v>
      </c>
      <c r="C112" s="79" t="s">
        <v>37</v>
      </c>
      <c r="D112" s="73" t="s">
        <v>179</v>
      </c>
      <c r="E112" s="73" t="s">
        <v>103</v>
      </c>
      <c r="F112" s="73" t="s">
        <v>168</v>
      </c>
      <c r="G112" s="92">
        <v>4</v>
      </c>
      <c r="H112" s="93">
        <v>0</v>
      </c>
      <c r="I112" s="93">
        <f t="shared" si="5"/>
        <v>0</v>
      </c>
      <c r="J112" s="93">
        <v>0</v>
      </c>
      <c r="K112" s="122">
        <v>0</v>
      </c>
      <c r="L112" s="93">
        <v>0</v>
      </c>
      <c r="M112" s="94">
        <v>0</v>
      </c>
      <c r="N112" s="95">
        <f t="shared" si="9"/>
        <v>4</v>
      </c>
      <c r="O112" s="93">
        <f t="shared" si="6"/>
        <v>0</v>
      </c>
      <c r="P112" s="96">
        <f t="shared" si="7"/>
        <v>0</v>
      </c>
      <c r="Q112" s="109" t="s">
        <v>353</v>
      </c>
      <c r="R112" s="119"/>
      <c r="S112" s="119"/>
      <c r="T112" s="99"/>
      <c r="U112" s="100"/>
    </row>
    <row r="113" spans="1:21" s="64" customFormat="1" ht="28" customHeight="1" x14ac:dyDescent="0.25">
      <c r="A113" s="73">
        <v>102</v>
      </c>
      <c r="B113" s="79" t="s">
        <v>180</v>
      </c>
      <c r="C113" s="79" t="s">
        <v>37</v>
      </c>
      <c r="D113" s="73" t="s">
        <v>181</v>
      </c>
      <c r="E113" s="73" t="s">
        <v>103</v>
      </c>
      <c r="F113" s="73" t="s">
        <v>168</v>
      </c>
      <c r="G113" s="92">
        <v>4</v>
      </c>
      <c r="H113" s="93">
        <v>0</v>
      </c>
      <c r="I113" s="93">
        <f t="shared" si="5"/>
        <v>0</v>
      </c>
      <c r="J113" s="93">
        <v>0</v>
      </c>
      <c r="K113" s="122">
        <v>12</v>
      </c>
      <c r="L113" s="93">
        <v>500</v>
      </c>
      <c r="M113" s="94">
        <v>46080</v>
      </c>
      <c r="N113" s="95">
        <f t="shared" si="9"/>
        <v>4</v>
      </c>
      <c r="O113" s="93">
        <f t="shared" si="6"/>
        <v>500</v>
      </c>
      <c r="P113" s="96">
        <f t="shared" si="7"/>
        <v>2000</v>
      </c>
      <c r="Q113" s="109" t="s">
        <v>353</v>
      </c>
      <c r="R113" s="119"/>
      <c r="S113" s="119"/>
      <c r="T113" s="99"/>
      <c r="U113" s="100"/>
    </row>
    <row r="114" spans="1:21" s="64" customFormat="1" ht="28" customHeight="1" x14ac:dyDescent="0.25">
      <c r="A114" s="73">
        <v>103</v>
      </c>
      <c r="B114" s="79" t="s">
        <v>183</v>
      </c>
      <c r="C114" s="79" t="s">
        <v>41</v>
      </c>
      <c r="D114" s="73"/>
      <c r="E114" s="73" t="s">
        <v>103</v>
      </c>
      <c r="F114" s="73" t="s">
        <v>168</v>
      </c>
      <c r="G114" s="92">
        <v>2</v>
      </c>
      <c r="H114" s="93">
        <v>0</v>
      </c>
      <c r="I114" s="93">
        <f t="shared" ref="I114:I165" si="10">ROUND(J114/26*3,0)</f>
        <v>0</v>
      </c>
      <c r="J114" s="93">
        <v>0</v>
      </c>
      <c r="K114" s="122">
        <v>10</v>
      </c>
      <c r="L114" s="93">
        <v>65</v>
      </c>
      <c r="M114" s="94">
        <v>46014</v>
      </c>
      <c r="N114" s="95">
        <f t="shared" si="9"/>
        <v>2</v>
      </c>
      <c r="O114" s="93">
        <f t="shared" ref="O114:O165" si="11">L114</f>
        <v>65</v>
      </c>
      <c r="P114" s="96">
        <f t="shared" ref="P114:P165" si="12">N114*O114</f>
        <v>130</v>
      </c>
      <c r="Q114" s="109" t="s">
        <v>353</v>
      </c>
      <c r="R114" s="119"/>
      <c r="S114" s="119"/>
      <c r="T114" s="99"/>
      <c r="U114" s="100"/>
    </row>
    <row r="115" spans="1:21" s="64" customFormat="1" ht="28" customHeight="1" x14ac:dyDescent="0.25">
      <c r="A115" s="73">
        <v>104</v>
      </c>
      <c r="B115" s="79" t="s">
        <v>184</v>
      </c>
      <c r="C115" s="79" t="s">
        <v>37</v>
      </c>
      <c r="D115" s="73"/>
      <c r="E115" s="73" t="s">
        <v>103</v>
      </c>
      <c r="F115" s="73" t="s">
        <v>168</v>
      </c>
      <c r="G115" s="92">
        <v>50</v>
      </c>
      <c r="H115" s="93">
        <v>0</v>
      </c>
      <c r="I115" s="93">
        <f t="shared" si="10"/>
        <v>3</v>
      </c>
      <c r="J115" s="93">
        <v>30</v>
      </c>
      <c r="K115" s="122">
        <v>100</v>
      </c>
      <c r="L115" s="93">
        <v>46</v>
      </c>
      <c r="M115" s="94">
        <v>46137</v>
      </c>
      <c r="N115" s="95">
        <f t="shared" si="9"/>
        <v>50</v>
      </c>
      <c r="O115" s="93">
        <f t="shared" si="11"/>
        <v>46</v>
      </c>
      <c r="P115" s="96">
        <f t="shared" si="12"/>
        <v>2300</v>
      </c>
      <c r="Q115" s="109" t="s">
        <v>353</v>
      </c>
      <c r="R115" s="119"/>
      <c r="S115" s="119"/>
      <c r="T115" s="99"/>
      <c r="U115" s="100"/>
    </row>
    <row r="116" spans="1:21" s="64" customFormat="1" ht="28" customHeight="1" x14ac:dyDescent="0.25">
      <c r="A116" s="73">
        <v>105</v>
      </c>
      <c r="B116" s="79" t="s">
        <v>185</v>
      </c>
      <c r="C116" s="79" t="s">
        <v>137</v>
      </c>
      <c r="D116" s="73" t="s">
        <v>146</v>
      </c>
      <c r="E116" s="73" t="s">
        <v>103</v>
      </c>
      <c r="F116" s="73" t="s">
        <v>168</v>
      </c>
      <c r="G116" s="92">
        <v>100</v>
      </c>
      <c r="H116" s="93">
        <v>0</v>
      </c>
      <c r="I116" s="93">
        <f t="shared" si="10"/>
        <v>0</v>
      </c>
      <c r="J116" s="93">
        <v>0</v>
      </c>
      <c r="K116" s="122">
        <v>100</v>
      </c>
      <c r="L116" s="93">
        <v>28</v>
      </c>
      <c r="M116" s="94">
        <v>46137</v>
      </c>
      <c r="N116" s="95">
        <f t="shared" si="9"/>
        <v>100</v>
      </c>
      <c r="O116" s="93">
        <f t="shared" si="11"/>
        <v>28</v>
      </c>
      <c r="P116" s="96">
        <f t="shared" si="12"/>
        <v>2800</v>
      </c>
      <c r="Q116" s="109" t="s">
        <v>353</v>
      </c>
      <c r="R116" s="119"/>
      <c r="S116" s="119"/>
      <c r="T116" s="99"/>
      <c r="U116" s="100"/>
    </row>
    <row r="117" spans="1:21" s="64" customFormat="1" ht="28" customHeight="1" x14ac:dyDescent="0.25">
      <c r="A117" s="73">
        <v>106</v>
      </c>
      <c r="B117" s="79" t="s">
        <v>186</v>
      </c>
      <c r="C117" s="79" t="s">
        <v>37</v>
      </c>
      <c r="D117" s="73" t="s">
        <v>187</v>
      </c>
      <c r="E117" s="73" t="s">
        <v>103</v>
      </c>
      <c r="F117" s="73" t="s">
        <v>168</v>
      </c>
      <c r="G117" s="92">
        <v>2</v>
      </c>
      <c r="H117" s="93">
        <v>0</v>
      </c>
      <c r="I117" s="93">
        <f t="shared" si="10"/>
        <v>0</v>
      </c>
      <c r="J117" s="93">
        <v>4</v>
      </c>
      <c r="K117" s="122">
        <v>5</v>
      </c>
      <c r="L117" s="93">
        <v>1600</v>
      </c>
      <c r="M117" s="94">
        <v>46202</v>
      </c>
      <c r="N117" s="95">
        <f t="shared" si="9"/>
        <v>2</v>
      </c>
      <c r="O117" s="93">
        <f t="shared" si="11"/>
        <v>1600</v>
      </c>
      <c r="P117" s="96">
        <f t="shared" si="12"/>
        <v>3200</v>
      </c>
      <c r="Q117" s="109" t="s">
        <v>353</v>
      </c>
      <c r="R117" s="119"/>
      <c r="S117" s="119"/>
      <c r="T117" s="99"/>
      <c r="U117" s="100"/>
    </row>
    <row r="118" spans="1:21" s="64" customFormat="1" ht="28" customHeight="1" x14ac:dyDescent="0.25">
      <c r="A118" s="73">
        <v>107</v>
      </c>
      <c r="B118" s="79" t="s">
        <v>297</v>
      </c>
      <c r="C118" s="79" t="s">
        <v>37</v>
      </c>
      <c r="D118" s="73"/>
      <c r="E118" s="73" t="s">
        <v>103</v>
      </c>
      <c r="F118" s="73" t="s">
        <v>168</v>
      </c>
      <c r="G118" s="92">
        <v>10</v>
      </c>
      <c r="H118" s="93">
        <v>3</v>
      </c>
      <c r="I118" s="93">
        <f t="shared" si="10"/>
        <v>0</v>
      </c>
      <c r="J118" s="93">
        <v>4</v>
      </c>
      <c r="K118" s="122">
        <v>10</v>
      </c>
      <c r="L118" s="93">
        <v>100</v>
      </c>
      <c r="M118" s="94">
        <v>46014</v>
      </c>
      <c r="N118" s="95">
        <f t="shared" si="9"/>
        <v>7</v>
      </c>
      <c r="O118" s="93">
        <f t="shared" si="11"/>
        <v>100</v>
      </c>
      <c r="P118" s="96">
        <f t="shared" si="12"/>
        <v>700</v>
      </c>
      <c r="Q118" s="109" t="s">
        <v>353</v>
      </c>
      <c r="R118" s="119"/>
      <c r="S118" s="119"/>
      <c r="T118" s="99"/>
      <c r="U118" s="100"/>
    </row>
    <row r="119" spans="1:21" s="64" customFormat="1" ht="28" customHeight="1" x14ac:dyDescent="0.25">
      <c r="A119" s="73">
        <v>108</v>
      </c>
      <c r="B119" s="79" t="s">
        <v>298</v>
      </c>
      <c r="C119" s="79" t="s">
        <v>37</v>
      </c>
      <c r="D119" s="73"/>
      <c r="E119" s="73" t="s">
        <v>103</v>
      </c>
      <c r="F119" s="73" t="s">
        <v>168</v>
      </c>
      <c r="G119" s="92">
        <v>10</v>
      </c>
      <c r="H119" s="93">
        <v>4</v>
      </c>
      <c r="I119" s="93">
        <f t="shared" si="10"/>
        <v>0</v>
      </c>
      <c r="J119" s="93">
        <v>2</v>
      </c>
      <c r="K119" s="122">
        <v>6</v>
      </c>
      <c r="L119" s="93">
        <v>13</v>
      </c>
      <c r="M119" s="94">
        <v>46202</v>
      </c>
      <c r="N119" s="95">
        <f t="shared" si="9"/>
        <v>6</v>
      </c>
      <c r="O119" s="93">
        <f t="shared" si="11"/>
        <v>13</v>
      </c>
      <c r="P119" s="96">
        <f t="shared" si="12"/>
        <v>78</v>
      </c>
      <c r="Q119" s="109" t="s">
        <v>353</v>
      </c>
      <c r="R119" s="119"/>
      <c r="S119" s="119"/>
      <c r="T119" s="99"/>
      <c r="U119" s="100"/>
    </row>
    <row r="120" spans="1:21" s="64" customFormat="1" ht="28" customHeight="1" x14ac:dyDescent="0.25">
      <c r="A120" s="73">
        <v>109</v>
      </c>
      <c r="B120" s="79" t="s">
        <v>299</v>
      </c>
      <c r="C120" s="79" t="s">
        <v>37</v>
      </c>
      <c r="D120" s="73"/>
      <c r="E120" s="73" t="s">
        <v>103</v>
      </c>
      <c r="F120" s="73" t="s">
        <v>168</v>
      </c>
      <c r="G120" s="92">
        <v>5</v>
      </c>
      <c r="H120" s="93">
        <v>3</v>
      </c>
      <c r="I120" s="93">
        <f t="shared" si="10"/>
        <v>0</v>
      </c>
      <c r="J120" s="93">
        <v>0</v>
      </c>
      <c r="K120" s="122">
        <v>5</v>
      </c>
      <c r="L120" s="93">
        <v>330</v>
      </c>
      <c r="M120" s="94">
        <v>45973</v>
      </c>
      <c r="N120" s="95">
        <f t="shared" si="9"/>
        <v>2</v>
      </c>
      <c r="O120" s="93">
        <f t="shared" si="11"/>
        <v>330</v>
      </c>
      <c r="P120" s="96">
        <f t="shared" si="12"/>
        <v>660</v>
      </c>
      <c r="Q120" s="109" t="s">
        <v>353</v>
      </c>
      <c r="R120" s="119"/>
      <c r="S120" s="119"/>
      <c r="T120" s="99"/>
      <c r="U120" s="100"/>
    </row>
    <row r="121" spans="1:21" s="64" customFormat="1" ht="28" customHeight="1" x14ac:dyDescent="0.25">
      <c r="A121" s="73">
        <v>110</v>
      </c>
      <c r="B121" s="79" t="s">
        <v>300</v>
      </c>
      <c r="C121" s="79" t="s">
        <v>37</v>
      </c>
      <c r="D121" s="73"/>
      <c r="E121" s="73" t="s">
        <v>42</v>
      </c>
      <c r="F121" s="73" t="s">
        <v>168</v>
      </c>
      <c r="G121" s="92">
        <v>1</v>
      </c>
      <c r="H121" s="93">
        <v>0</v>
      </c>
      <c r="I121" s="93">
        <f t="shared" si="10"/>
        <v>0</v>
      </c>
      <c r="J121" s="93">
        <v>0</v>
      </c>
      <c r="K121" s="122">
        <v>0</v>
      </c>
      <c r="L121" s="93">
        <v>0</v>
      </c>
      <c r="M121" s="94">
        <v>0</v>
      </c>
      <c r="N121" s="95">
        <f t="shared" si="9"/>
        <v>1</v>
      </c>
      <c r="O121" s="93">
        <f t="shared" si="11"/>
        <v>0</v>
      </c>
      <c r="P121" s="96">
        <f t="shared" si="12"/>
        <v>0</v>
      </c>
      <c r="Q121" s="109" t="s">
        <v>353</v>
      </c>
      <c r="R121" s="119"/>
      <c r="S121" s="119"/>
      <c r="T121" s="99"/>
      <c r="U121" s="100"/>
    </row>
    <row r="122" spans="1:21" s="64" customFormat="1" ht="28" customHeight="1" x14ac:dyDescent="0.25">
      <c r="A122" s="73">
        <v>111</v>
      </c>
      <c r="B122" s="79" t="s">
        <v>301</v>
      </c>
      <c r="C122" s="79" t="s">
        <v>37</v>
      </c>
      <c r="D122" s="73"/>
      <c r="E122" s="73" t="s">
        <v>103</v>
      </c>
      <c r="F122" s="73" t="s">
        <v>168</v>
      </c>
      <c r="G122" s="92">
        <v>10</v>
      </c>
      <c r="H122" s="93">
        <v>3</v>
      </c>
      <c r="I122" s="93">
        <f t="shared" si="10"/>
        <v>0</v>
      </c>
      <c r="J122" s="93">
        <v>0</v>
      </c>
      <c r="K122" s="122">
        <v>10</v>
      </c>
      <c r="L122" s="93">
        <v>430</v>
      </c>
      <c r="M122" s="94">
        <v>45887</v>
      </c>
      <c r="N122" s="95">
        <f t="shared" si="9"/>
        <v>7</v>
      </c>
      <c r="O122" s="93">
        <f t="shared" si="11"/>
        <v>430</v>
      </c>
      <c r="P122" s="96">
        <f t="shared" si="12"/>
        <v>3010</v>
      </c>
      <c r="Q122" s="109" t="s">
        <v>353</v>
      </c>
      <c r="R122" s="119"/>
      <c r="S122" s="119"/>
      <c r="T122" s="99"/>
      <c r="U122" s="100"/>
    </row>
    <row r="123" spans="1:21" s="64" customFormat="1" ht="28" customHeight="1" x14ac:dyDescent="0.25">
      <c r="A123" s="73">
        <v>112</v>
      </c>
      <c r="B123" s="79" t="s">
        <v>302</v>
      </c>
      <c r="C123" s="79" t="s">
        <v>37</v>
      </c>
      <c r="D123" s="73"/>
      <c r="E123" s="73" t="s">
        <v>103</v>
      </c>
      <c r="F123" s="73" t="s">
        <v>168</v>
      </c>
      <c r="G123" s="92">
        <v>10</v>
      </c>
      <c r="H123" s="93">
        <v>0</v>
      </c>
      <c r="I123" s="93">
        <f t="shared" si="10"/>
        <v>0</v>
      </c>
      <c r="J123" s="93">
        <v>3</v>
      </c>
      <c r="K123" s="122">
        <v>2</v>
      </c>
      <c r="L123" s="93">
        <v>1035</v>
      </c>
      <c r="M123" s="94">
        <v>45792</v>
      </c>
      <c r="N123" s="95">
        <f t="shared" si="9"/>
        <v>10</v>
      </c>
      <c r="O123" s="93">
        <f t="shared" si="11"/>
        <v>1035</v>
      </c>
      <c r="P123" s="96">
        <f t="shared" si="12"/>
        <v>10350</v>
      </c>
      <c r="Q123" s="109" t="s">
        <v>353</v>
      </c>
      <c r="R123" s="119"/>
      <c r="S123" s="119"/>
      <c r="T123" s="99"/>
      <c r="U123" s="100"/>
    </row>
    <row r="124" spans="1:21" s="64" customFormat="1" ht="28" customHeight="1" x14ac:dyDescent="0.25">
      <c r="A124" s="73">
        <v>113</v>
      </c>
      <c r="B124" s="79" t="s">
        <v>303</v>
      </c>
      <c r="C124" s="79" t="s">
        <v>37</v>
      </c>
      <c r="D124" s="73"/>
      <c r="E124" s="73" t="s">
        <v>103</v>
      </c>
      <c r="F124" s="73" t="s">
        <v>168</v>
      </c>
      <c r="G124" s="92">
        <v>10</v>
      </c>
      <c r="H124" s="93">
        <v>0</v>
      </c>
      <c r="I124" s="93">
        <f t="shared" si="10"/>
        <v>1</v>
      </c>
      <c r="J124" s="93">
        <v>8</v>
      </c>
      <c r="K124" s="122">
        <v>6</v>
      </c>
      <c r="L124" s="93">
        <v>260</v>
      </c>
      <c r="M124" s="94">
        <v>46080</v>
      </c>
      <c r="N124" s="95">
        <f t="shared" si="9"/>
        <v>10</v>
      </c>
      <c r="O124" s="93">
        <f t="shared" si="11"/>
        <v>260</v>
      </c>
      <c r="P124" s="96">
        <f t="shared" si="12"/>
        <v>2600</v>
      </c>
      <c r="Q124" s="109" t="s">
        <v>353</v>
      </c>
      <c r="R124" s="119"/>
      <c r="S124" s="119"/>
      <c r="T124" s="99"/>
      <c r="U124" s="100"/>
    </row>
    <row r="125" spans="1:21" s="64" customFormat="1" ht="28" customHeight="1" x14ac:dyDescent="0.25">
      <c r="A125" s="73">
        <v>114</v>
      </c>
      <c r="B125" s="79" t="s">
        <v>317</v>
      </c>
      <c r="C125" s="79" t="s">
        <v>37</v>
      </c>
      <c r="D125" s="73" t="s">
        <v>304</v>
      </c>
      <c r="E125" s="73" t="s">
        <v>42</v>
      </c>
      <c r="F125" s="73" t="s">
        <v>168</v>
      </c>
      <c r="G125" s="92">
        <v>1</v>
      </c>
      <c r="H125" s="93">
        <v>0</v>
      </c>
      <c r="I125" s="93">
        <f t="shared" si="10"/>
        <v>0</v>
      </c>
      <c r="J125" s="93">
        <v>0</v>
      </c>
      <c r="K125" s="122">
        <v>0</v>
      </c>
      <c r="L125" s="93">
        <v>0</v>
      </c>
      <c r="M125" s="94">
        <v>0</v>
      </c>
      <c r="N125" s="95">
        <f t="shared" si="9"/>
        <v>1</v>
      </c>
      <c r="O125" s="93">
        <f t="shared" si="11"/>
        <v>0</v>
      </c>
      <c r="P125" s="96">
        <f t="shared" si="12"/>
        <v>0</v>
      </c>
      <c r="Q125" s="109" t="s">
        <v>353</v>
      </c>
      <c r="R125" s="119"/>
      <c r="S125" s="119"/>
      <c r="T125" s="99"/>
      <c r="U125" s="100"/>
    </row>
    <row r="126" spans="1:21" s="64" customFormat="1" ht="28" customHeight="1" x14ac:dyDescent="0.25">
      <c r="A126" s="73">
        <v>115</v>
      </c>
      <c r="B126" s="79" t="s">
        <v>318</v>
      </c>
      <c r="C126" s="79" t="s">
        <v>37</v>
      </c>
      <c r="D126" s="73" t="s">
        <v>305</v>
      </c>
      <c r="E126" s="73" t="s">
        <v>42</v>
      </c>
      <c r="F126" s="73" t="s">
        <v>168</v>
      </c>
      <c r="G126" s="92">
        <v>1</v>
      </c>
      <c r="H126" s="93">
        <v>0</v>
      </c>
      <c r="I126" s="93">
        <f t="shared" si="10"/>
        <v>0</v>
      </c>
      <c r="J126" s="93">
        <v>0</v>
      </c>
      <c r="K126" s="122">
        <v>0</v>
      </c>
      <c r="L126" s="93">
        <v>0</v>
      </c>
      <c r="M126" s="94">
        <v>0</v>
      </c>
      <c r="N126" s="95">
        <f t="shared" si="9"/>
        <v>1</v>
      </c>
      <c r="O126" s="93">
        <f t="shared" si="11"/>
        <v>0</v>
      </c>
      <c r="P126" s="96">
        <f t="shared" si="12"/>
        <v>0</v>
      </c>
      <c r="Q126" s="109" t="s">
        <v>353</v>
      </c>
      <c r="R126" s="119"/>
      <c r="S126" s="119"/>
      <c r="T126" s="99"/>
      <c r="U126" s="100"/>
    </row>
    <row r="127" spans="1:21" s="64" customFormat="1" ht="28" customHeight="1" x14ac:dyDescent="0.25">
      <c r="A127" s="73">
        <v>116</v>
      </c>
      <c r="B127" s="79" t="s">
        <v>306</v>
      </c>
      <c r="C127" s="79" t="s">
        <v>37</v>
      </c>
      <c r="D127" s="73"/>
      <c r="E127" s="73" t="s">
        <v>103</v>
      </c>
      <c r="F127" s="73" t="s">
        <v>168</v>
      </c>
      <c r="G127" s="92">
        <v>2</v>
      </c>
      <c r="H127" s="93">
        <v>0</v>
      </c>
      <c r="I127" s="93">
        <f t="shared" si="10"/>
        <v>0</v>
      </c>
      <c r="J127" s="93">
        <v>0</v>
      </c>
      <c r="K127" s="122">
        <v>0</v>
      </c>
      <c r="L127" s="93">
        <v>0</v>
      </c>
      <c r="M127" s="94">
        <v>0</v>
      </c>
      <c r="N127" s="95">
        <f t="shared" si="9"/>
        <v>2</v>
      </c>
      <c r="O127" s="93">
        <f t="shared" si="11"/>
        <v>0</v>
      </c>
      <c r="P127" s="96">
        <f t="shared" si="12"/>
        <v>0</v>
      </c>
      <c r="Q127" s="109" t="s">
        <v>353</v>
      </c>
      <c r="R127" s="119"/>
      <c r="S127" s="119"/>
      <c r="T127" s="99"/>
      <c r="U127" s="100"/>
    </row>
    <row r="128" spans="1:21" s="64" customFormat="1" ht="28" customHeight="1" x14ac:dyDescent="0.25">
      <c r="A128" s="73">
        <v>117</v>
      </c>
      <c r="B128" s="79" t="s">
        <v>182</v>
      </c>
      <c r="C128" s="79" t="s">
        <v>37</v>
      </c>
      <c r="D128" s="73"/>
      <c r="E128" s="73" t="s">
        <v>103</v>
      </c>
      <c r="F128" s="73" t="s">
        <v>168</v>
      </c>
      <c r="G128" s="92">
        <v>2</v>
      </c>
      <c r="H128" s="93">
        <v>0</v>
      </c>
      <c r="I128" s="93">
        <f t="shared" si="10"/>
        <v>3</v>
      </c>
      <c r="J128" s="93">
        <v>24</v>
      </c>
      <c r="K128" s="122">
        <v>5</v>
      </c>
      <c r="L128" s="93">
        <v>55</v>
      </c>
      <c r="M128" s="94">
        <v>46014</v>
      </c>
      <c r="N128" s="95">
        <f t="shared" si="9"/>
        <v>2</v>
      </c>
      <c r="O128" s="93">
        <f t="shared" si="11"/>
        <v>55</v>
      </c>
      <c r="P128" s="96">
        <f t="shared" si="12"/>
        <v>110</v>
      </c>
      <c r="Q128" s="109" t="s">
        <v>353</v>
      </c>
      <c r="R128" s="119"/>
      <c r="S128" s="119"/>
      <c r="T128" s="99"/>
      <c r="U128" s="100"/>
    </row>
    <row r="129" spans="1:21" s="64" customFormat="1" ht="28" customHeight="1" x14ac:dyDescent="0.25">
      <c r="A129" s="73">
        <v>118</v>
      </c>
      <c r="B129" s="79" t="s">
        <v>307</v>
      </c>
      <c r="C129" s="79" t="s">
        <v>37</v>
      </c>
      <c r="D129" s="73" t="s">
        <v>308</v>
      </c>
      <c r="E129" s="73" t="s">
        <v>103</v>
      </c>
      <c r="F129" s="73" t="s">
        <v>168</v>
      </c>
      <c r="G129" s="92">
        <v>4</v>
      </c>
      <c r="H129" s="93">
        <v>0</v>
      </c>
      <c r="I129" s="93">
        <f t="shared" si="10"/>
        <v>0</v>
      </c>
      <c r="J129" s="93">
        <v>0</v>
      </c>
      <c r="K129" s="122">
        <v>14</v>
      </c>
      <c r="L129" s="93">
        <v>126</v>
      </c>
      <c r="M129" s="94">
        <v>46079</v>
      </c>
      <c r="N129" s="95">
        <f t="shared" si="9"/>
        <v>4</v>
      </c>
      <c r="O129" s="93">
        <f t="shared" si="11"/>
        <v>126</v>
      </c>
      <c r="P129" s="96">
        <f t="shared" si="12"/>
        <v>504</v>
      </c>
      <c r="Q129" s="109" t="s">
        <v>353</v>
      </c>
      <c r="R129" s="119"/>
      <c r="S129" s="119"/>
      <c r="T129" s="99"/>
      <c r="U129" s="100"/>
    </row>
    <row r="130" spans="1:21" s="64" customFormat="1" ht="28" customHeight="1" x14ac:dyDescent="0.25">
      <c r="A130" s="73">
        <v>119</v>
      </c>
      <c r="B130" s="79" t="s">
        <v>309</v>
      </c>
      <c r="C130" s="79" t="s">
        <v>37</v>
      </c>
      <c r="D130" s="73" t="s">
        <v>310</v>
      </c>
      <c r="E130" s="73" t="s">
        <v>103</v>
      </c>
      <c r="F130" s="73" t="s">
        <v>168</v>
      </c>
      <c r="G130" s="92">
        <v>5</v>
      </c>
      <c r="H130" s="93">
        <v>0</v>
      </c>
      <c r="I130" s="93">
        <f t="shared" si="10"/>
        <v>0</v>
      </c>
      <c r="J130" s="93">
        <v>0</v>
      </c>
      <c r="K130" s="122">
        <v>5</v>
      </c>
      <c r="L130" s="93">
        <v>90</v>
      </c>
      <c r="M130" s="94">
        <v>46013</v>
      </c>
      <c r="N130" s="95">
        <f t="shared" si="9"/>
        <v>5</v>
      </c>
      <c r="O130" s="93">
        <f t="shared" si="11"/>
        <v>90</v>
      </c>
      <c r="P130" s="96">
        <f t="shared" si="12"/>
        <v>450</v>
      </c>
      <c r="Q130" s="109" t="s">
        <v>353</v>
      </c>
      <c r="R130" s="119"/>
      <c r="S130" s="119"/>
      <c r="T130" s="99"/>
      <c r="U130" s="100"/>
    </row>
    <row r="131" spans="1:21" s="64" customFormat="1" ht="28" customHeight="1" x14ac:dyDescent="0.25">
      <c r="A131" s="73">
        <v>120</v>
      </c>
      <c r="B131" s="73" t="s">
        <v>155</v>
      </c>
      <c r="C131" s="79" t="s">
        <v>37</v>
      </c>
      <c r="D131" s="73"/>
      <c r="E131" s="73" t="s">
        <v>103</v>
      </c>
      <c r="F131" s="73" t="s">
        <v>319</v>
      </c>
      <c r="G131" s="92">
        <v>72</v>
      </c>
      <c r="H131" s="93">
        <v>25</v>
      </c>
      <c r="I131" s="93">
        <f t="shared" si="10"/>
        <v>3</v>
      </c>
      <c r="J131" s="93">
        <v>27</v>
      </c>
      <c r="K131" s="122">
        <v>10</v>
      </c>
      <c r="L131" s="93">
        <v>33</v>
      </c>
      <c r="M131" s="94">
        <v>46222</v>
      </c>
      <c r="N131" s="95">
        <f t="shared" si="9"/>
        <v>47</v>
      </c>
      <c r="O131" s="93">
        <f t="shared" si="11"/>
        <v>33</v>
      </c>
      <c r="P131" s="96">
        <f t="shared" si="12"/>
        <v>1551</v>
      </c>
      <c r="Q131" s="109" t="s">
        <v>352</v>
      </c>
      <c r="R131" s="119"/>
      <c r="S131" s="119"/>
      <c r="T131" s="99"/>
      <c r="U131" s="100"/>
    </row>
    <row r="132" spans="1:21" s="64" customFormat="1" ht="28" customHeight="1" x14ac:dyDescent="0.25">
      <c r="A132" s="73">
        <v>121</v>
      </c>
      <c r="B132" s="73" t="s">
        <v>71</v>
      </c>
      <c r="C132" s="79" t="s">
        <v>37</v>
      </c>
      <c r="D132" s="73"/>
      <c r="E132" s="73" t="s">
        <v>103</v>
      </c>
      <c r="F132" s="73" t="s">
        <v>57</v>
      </c>
      <c r="G132" s="92">
        <v>70</v>
      </c>
      <c r="H132" s="93">
        <v>0</v>
      </c>
      <c r="I132" s="93">
        <f t="shared" si="10"/>
        <v>4</v>
      </c>
      <c r="J132" s="93">
        <v>33</v>
      </c>
      <c r="K132" s="122">
        <v>63</v>
      </c>
      <c r="L132" s="93">
        <v>238</v>
      </c>
      <c r="M132" s="94">
        <v>46198</v>
      </c>
      <c r="N132" s="95">
        <f t="shared" si="9"/>
        <v>70</v>
      </c>
      <c r="O132" s="93">
        <f t="shared" si="11"/>
        <v>238</v>
      </c>
      <c r="P132" s="96">
        <f t="shared" si="12"/>
        <v>16660</v>
      </c>
      <c r="Q132" s="109" t="s">
        <v>326</v>
      </c>
      <c r="R132" s="119"/>
      <c r="S132" s="119"/>
      <c r="T132" s="99"/>
      <c r="U132" s="100"/>
    </row>
    <row r="133" spans="1:21" s="64" customFormat="1" ht="28" customHeight="1" x14ac:dyDescent="0.25">
      <c r="A133" s="73">
        <v>122</v>
      </c>
      <c r="B133" s="73" t="s">
        <v>66</v>
      </c>
      <c r="C133" s="79" t="s">
        <v>37</v>
      </c>
      <c r="D133" s="73"/>
      <c r="E133" s="73" t="s">
        <v>103</v>
      </c>
      <c r="F133" s="73" t="s">
        <v>57</v>
      </c>
      <c r="G133" s="92">
        <v>50</v>
      </c>
      <c r="H133" s="93">
        <v>0</v>
      </c>
      <c r="I133" s="93">
        <f t="shared" si="10"/>
        <v>1</v>
      </c>
      <c r="J133" s="93">
        <v>5</v>
      </c>
      <c r="K133" s="122">
        <v>50</v>
      </c>
      <c r="L133" s="93">
        <v>487</v>
      </c>
      <c r="M133" s="94">
        <v>46148</v>
      </c>
      <c r="N133" s="95">
        <f t="shared" si="9"/>
        <v>50</v>
      </c>
      <c r="O133" s="93">
        <f t="shared" si="11"/>
        <v>487</v>
      </c>
      <c r="P133" s="96">
        <f t="shared" si="12"/>
        <v>24350</v>
      </c>
      <c r="Q133" s="109" t="s">
        <v>326</v>
      </c>
      <c r="R133" s="119"/>
      <c r="S133" s="119"/>
      <c r="T133" s="99"/>
      <c r="U133" s="100"/>
    </row>
    <row r="134" spans="1:21" s="64" customFormat="1" ht="28" customHeight="1" x14ac:dyDescent="0.25">
      <c r="A134" s="73">
        <v>123</v>
      </c>
      <c r="B134" s="81" t="s">
        <v>65</v>
      </c>
      <c r="C134" s="79" t="s">
        <v>37</v>
      </c>
      <c r="D134" s="73"/>
      <c r="E134" s="73" t="s">
        <v>103</v>
      </c>
      <c r="F134" s="73" t="s">
        <v>57</v>
      </c>
      <c r="G134" s="92">
        <v>40</v>
      </c>
      <c r="H134" s="93">
        <v>0</v>
      </c>
      <c r="I134" s="93">
        <f t="shared" si="10"/>
        <v>0</v>
      </c>
      <c r="J134" s="93">
        <v>0</v>
      </c>
      <c r="K134" s="122">
        <v>14</v>
      </c>
      <c r="L134" s="93">
        <v>440</v>
      </c>
      <c r="M134" s="94">
        <v>46198</v>
      </c>
      <c r="N134" s="95">
        <f t="shared" si="9"/>
        <v>40</v>
      </c>
      <c r="O134" s="93">
        <f t="shared" si="11"/>
        <v>440</v>
      </c>
      <c r="P134" s="96">
        <f t="shared" si="12"/>
        <v>17600</v>
      </c>
      <c r="Q134" s="109" t="s">
        <v>326</v>
      </c>
      <c r="R134" s="119"/>
      <c r="S134" s="119"/>
      <c r="T134" s="99"/>
      <c r="U134" s="100"/>
    </row>
    <row r="135" spans="1:21" s="64" customFormat="1" ht="28" customHeight="1" x14ac:dyDescent="0.25">
      <c r="A135" s="73">
        <v>124</v>
      </c>
      <c r="B135" s="81" t="s">
        <v>248</v>
      </c>
      <c r="C135" s="79" t="s">
        <v>37</v>
      </c>
      <c r="D135" s="73"/>
      <c r="E135" s="73" t="s">
        <v>103</v>
      </c>
      <c r="F135" s="73" t="s">
        <v>57</v>
      </c>
      <c r="G135" s="92">
        <v>60</v>
      </c>
      <c r="H135" s="93">
        <v>0</v>
      </c>
      <c r="I135" s="93">
        <f t="shared" si="10"/>
        <v>5</v>
      </c>
      <c r="J135" s="93">
        <v>41</v>
      </c>
      <c r="K135" s="122">
        <v>2</v>
      </c>
      <c r="L135" s="93">
        <v>315</v>
      </c>
      <c r="M135" s="94">
        <v>45966</v>
      </c>
      <c r="N135" s="95">
        <f t="shared" si="9"/>
        <v>60</v>
      </c>
      <c r="O135" s="93">
        <f t="shared" si="11"/>
        <v>315</v>
      </c>
      <c r="P135" s="96">
        <f t="shared" si="12"/>
        <v>18900</v>
      </c>
      <c r="Q135" s="109" t="s">
        <v>326</v>
      </c>
      <c r="R135" s="119"/>
      <c r="S135" s="119"/>
      <c r="T135" s="99"/>
      <c r="U135" s="100"/>
    </row>
    <row r="136" spans="1:21" s="64" customFormat="1" ht="28" customHeight="1" x14ac:dyDescent="0.25">
      <c r="A136" s="73">
        <v>125</v>
      </c>
      <c r="B136" s="79" t="s">
        <v>249</v>
      </c>
      <c r="C136" s="79" t="s">
        <v>37</v>
      </c>
      <c r="D136" s="73"/>
      <c r="E136" s="73" t="s">
        <v>103</v>
      </c>
      <c r="F136" s="73" t="s">
        <v>57</v>
      </c>
      <c r="G136" s="92">
        <v>40</v>
      </c>
      <c r="H136" s="93">
        <v>0</v>
      </c>
      <c r="I136" s="93">
        <f t="shared" si="10"/>
        <v>0</v>
      </c>
      <c r="J136" s="93">
        <v>0</v>
      </c>
      <c r="K136" s="122">
        <v>5</v>
      </c>
      <c r="L136" s="93">
        <v>360</v>
      </c>
      <c r="M136" s="94">
        <v>45847</v>
      </c>
      <c r="N136" s="95">
        <f t="shared" si="9"/>
        <v>40</v>
      </c>
      <c r="O136" s="93">
        <f t="shared" si="11"/>
        <v>360</v>
      </c>
      <c r="P136" s="96">
        <f t="shared" si="12"/>
        <v>14400</v>
      </c>
      <c r="Q136" s="109" t="s">
        <v>326</v>
      </c>
      <c r="R136" s="119"/>
      <c r="S136" s="119"/>
      <c r="T136" s="99"/>
      <c r="U136" s="100"/>
    </row>
    <row r="137" spans="1:21" s="64" customFormat="1" ht="28" customHeight="1" x14ac:dyDescent="0.25">
      <c r="A137" s="73">
        <v>126</v>
      </c>
      <c r="B137" s="79" t="s">
        <v>250</v>
      </c>
      <c r="C137" s="79" t="s">
        <v>251</v>
      </c>
      <c r="D137" s="73"/>
      <c r="E137" s="73" t="s">
        <v>42</v>
      </c>
      <c r="F137" s="73" t="s">
        <v>57</v>
      </c>
      <c r="G137" s="92">
        <v>30</v>
      </c>
      <c r="H137" s="93">
        <v>0</v>
      </c>
      <c r="I137" s="93">
        <f t="shared" si="10"/>
        <v>0</v>
      </c>
      <c r="J137" s="93">
        <v>0</v>
      </c>
      <c r="K137" s="122">
        <v>0</v>
      </c>
      <c r="L137" s="93">
        <v>0</v>
      </c>
      <c r="M137" s="94">
        <v>0</v>
      </c>
      <c r="N137" s="95">
        <f t="shared" si="9"/>
        <v>30</v>
      </c>
      <c r="O137" s="93">
        <f t="shared" si="11"/>
        <v>0</v>
      </c>
      <c r="P137" s="96">
        <f t="shared" si="12"/>
        <v>0</v>
      </c>
      <c r="Q137" s="109" t="s">
        <v>326</v>
      </c>
      <c r="R137" s="119"/>
      <c r="S137" s="119"/>
      <c r="T137" s="99"/>
      <c r="U137" s="100"/>
    </row>
    <row r="138" spans="1:21" s="64" customFormat="1" ht="28" customHeight="1" x14ac:dyDescent="0.25">
      <c r="A138" s="73">
        <v>127</v>
      </c>
      <c r="B138" s="79" t="s">
        <v>252</v>
      </c>
      <c r="C138" s="79" t="s">
        <v>37</v>
      </c>
      <c r="D138" s="73"/>
      <c r="E138" s="73" t="s">
        <v>103</v>
      </c>
      <c r="F138" s="73" t="s">
        <v>57</v>
      </c>
      <c r="G138" s="92">
        <v>20</v>
      </c>
      <c r="H138" s="93">
        <v>0</v>
      </c>
      <c r="I138" s="93">
        <f t="shared" si="10"/>
        <v>0</v>
      </c>
      <c r="J138" s="93">
        <v>0</v>
      </c>
      <c r="K138" s="122">
        <v>4</v>
      </c>
      <c r="L138" s="93">
        <v>405</v>
      </c>
      <c r="M138" s="94">
        <v>45839</v>
      </c>
      <c r="N138" s="95">
        <f t="shared" si="9"/>
        <v>20</v>
      </c>
      <c r="O138" s="93">
        <f t="shared" si="11"/>
        <v>405</v>
      </c>
      <c r="P138" s="96">
        <f t="shared" si="12"/>
        <v>8100</v>
      </c>
      <c r="Q138" s="109" t="s">
        <v>326</v>
      </c>
      <c r="R138" s="119"/>
      <c r="S138" s="119"/>
      <c r="T138" s="99"/>
      <c r="U138" s="100"/>
    </row>
    <row r="139" spans="1:21" s="64" customFormat="1" ht="28" customHeight="1" x14ac:dyDescent="0.25">
      <c r="A139" s="73">
        <v>128</v>
      </c>
      <c r="B139" s="79" t="s">
        <v>96</v>
      </c>
      <c r="C139" s="79" t="s">
        <v>37</v>
      </c>
      <c r="D139" s="73"/>
      <c r="E139" s="73" t="s">
        <v>103</v>
      </c>
      <c r="F139" s="73" t="s">
        <v>57</v>
      </c>
      <c r="G139" s="92">
        <v>30</v>
      </c>
      <c r="H139" s="93">
        <v>0</v>
      </c>
      <c r="I139" s="93">
        <f t="shared" si="10"/>
        <v>0</v>
      </c>
      <c r="J139" s="93">
        <v>0</v>
      </c>
      <c r="K139" s="122">
        <v>10</v>
      </c>
      <c r="L139" s="93">
        <v>422.5</v>
      </c>
      <c r="M139" s="94">
        <v>45865</v>
      </c>
      <c r="N139" s="95">
        <f t="shared" si="9"/>
        <v>30</v>
      </c>
      <c r="O139" s="93">
        <f t="shared" si="11"/>
        <v>422.5</v>
      </c>
      <c r="P139" s="96">
        <f t="shared" si="12"/>
        <v>12675</v>
      </c>
      <c r="Q139" s="109" t="s">
        <v>326</v>
      </c>
      <c r="R139" s="119"/>
      <c r="S139" s="119"/>
      <c r="T139" s="99"/>
      <c r="U139" s="100"/>
    </row>
    <row r="140" spans="1:21" s="64" customFormat="1" ht="28" customHeight="1" x14ac:dyDescent="0.25">
      <c r="A140" s="73">
        <v>129</v>
      </c>
      <c r="B140" s="79" t="s">
        <v>72</v>
      </c>
      <c r="C140" s="79" t="s">
        <v>37</v>
      </c>
      <c r="D140" s="73"/>
      <c r="E140" s="73" t="s">
        <v>103</v>
      </c>
      <c r="F140" s="73" t="s">
        <v>57</v>
      </c>
      <c r="G140" s="92">
        <v>150</v>
      </c>
      <c r="H140" s="93">
        <v>132</v>
      </c>
      <c r="I140" s="93">
        <f t="shared" si="10"/>
        <v>10</v>
      </c>
      <c r="J140" s="93">
        <v>87</v>
      </c>
      <c r="K140" s="122">
        <v>171</v>
      </c>
      <c r="L140" s="93">
        <v>384</v>
      </c>
      <c r="M140" s="94">
        <v>46221</v>
      </c>
      <c r="N140" s="95">
        <f t="shared" ref="N140:N170" si="13">G140-H140</f>
        <v>18</v>
      </c>
      <c r="O140" s="93">
        <f t="shared" si="11"/>
        <v>384</v>
      </c>
      <c r="P140" s="96">
        <f t="shared" si="12"/>
        <v>6912</v>
      </c>
      <c r="Q140" s="109" t="s">
        <v>326</v>
      </c>
      <c r="R140" s="119"/>
      <c r="S140" s="119"/>
      <c r="T140" s="99"/>
      <c r="U140" s="100"/>
    </row>
    <row r="141" spans="1:21" s="64" customFormat="1" ht="28" customHeight="1" x14ac:dyDescent="0.25">
      <c r="A141" s="73">
        <v>130</v>
      </c>
      <c r="B141" s="73" t="s">
        <v>138</v>
      </c>
      <c r="C141" s="85" t="s">
        <v>40</v>
      </c>
      <c r="D141" s="73" t="s">
        <v>253</v>
      </c>
      <c r="E141" s="73" t="s">
        <v>103</v>
      </c>
      <c r="F141" s="73" t="s">
        <v>57</v>
      </c>
      <c r="G141" s="92">
        <v>30</v>
      </c>
      <c r="H141" s="93">
        <v>5</v>
      </c>
      <c r="I141" s="93">
        <f t="shared" si="10"/>
        <v>1</v>
      </c>
      <c r="J141" s="93">
        <v>5</v>
      </c>
      <c r="K141" s="122">
        <v>10</v>
      </c>
      <c r="L141" s="93">
        <v>595</v>
      </c>
      <c r="M141" s="94">
        <v>46224</v>
      </c>
      <c r="N141" s="95">
        <f t="shared" si="13"/>
        <v>25</v>
      </c>
      <c r="O141" s="93">
        <f t="shared" si="11"/>
        <v>595</v>
      </c>
      <c r="P141" s="96">
        <f t="shared" si="12"/>
        <v>14875</v>
      </c>
      <c r="Q141" s="109" t="s">
        <v>44</v>
      </c>
      <c r="R141" s="119"/>
      <c r="S141" s="119"/>
      <c r="T141" s="99"/>
      <c r="U141" s="100"/>
    </row>
    <row r="142" spans="1:21" s="64" customFormat="1" ht="28" customHeight="1" x14ac:dyDescent="0.25">
      <c r="A142" s="73">
        <v>131</v>
      </c>
      <c r="B142" s="79" t="s">
        <v>254</v>
      </c>
      <c r="C142" s="79" t="s">
        <v>37</v>
      </c>
      <c r="D142" s="73"/>
      <c r="E142" s="73" t="s">
        <v>103</v>
      </c>
      <c r="F142" s="73" t="s">
        <v>57</v>
      </c>
      <c r="G142" s="92">
        <v>6</v>
      </c>
      <c r="H142" s="93">
        <v>0</v>
      </c>
      <c r="I142" s="93">
        <f t="shared" si="10"/>
        <v>0</v>
      </c>
      <c r="J142" s="93">
        <v>2</v>
      </c>
      <c r="K142" s="122">
        <v>2</v>
      </c>
      <c r="L142" s="93">
        <v>180</v>
      </c>
      <c r="M142" s="94">
        <v>46190</v>
      </c>
      <c r="N142" s="95">
        <f t="shared" si="13"/>
        <v>6</v>
      </c>
      <c r="O142" s="93">
        <f t="shared" si="11"/>
        <v>180</v>
      </c>
      <c r="P142" s="96">
        <f t="shared" si="12"/>
        <v>1080</v>
      </c>
      <c r="Q142" s="109" t="s">
        <v>44</v>
      </c>
      <c r="R142" s="119"/>
      <c r="S142" s="119"/>
      <c r="T142" s="99"/>
      <c r="U142" s="100"/>
    </row>
    <row r="143" spans="1:21" s="64" customFormat="1" ht="28" customHeight="1" x14ac:dyDescent="0.25">
      <c r="A143" s="73">
        <v>132</v>
      </c>
      <c r="B143" s="81" t="s">
        <v>139</v>
      </c>
      <c r="C143" s="79" t="s">
        <v>37</v>
      </c>
      <c r="D143" s="73"/>
      <c r="E143" s="73" t="s">
        <v>42</v>
      </c>
      <c r="F143" s="73" t="s">
        <v>57</v>
      </c>
      <c r="G143" s="92">
        <v>6</v>
      </c>
      <c r="H143" s="93">
        <v>0</v>
      </c>
      <c r="I143" s="93">
        <f t="shared" si="10"/>
        <v>0</v>
      </c>
      <c r="J143" s="93">
        <v>0</v>
      </c>
      <c r="K143" s="122">
        <v>0</v>
      </c>
      <c r="L143" s="93">
        <v>0</v>
      </c>
      <c r="M143" s="94">
        <v>0</v>
      </c>
      <c r="N143" s="95">
        <f t="shared" si="13"/>
        <v>6</v>
      </c>
      <c r="O143" s="93">
        <f t="shared" si="11"/>
        <v>0</v>
      </c>
      <c r="P143" s="96">
        <f t="shared" si="12"/>
        <v>0</v>
      </c>
      <c r="Q143" s="109" t="s">
        <v>352</v>
      </c>
      <c r="R143" s="119"/>
      <c r="S143" s="119"/>
      <c r="T143" s="99"/>
      <c r="U143" s="100"/>
    </row>
    <row r="144" spans="1:21" s="64" customFormat="1" ht="28" customHeight="1" x14ac:dyDescent="0.25">
      <c r="A144" s="73">
        <v>133</v>
      </c>
      <c r="B144" s="79" t="s">
        <v>255</v>
      </c>
      <c r="C144" s="79" t="s">
        <v>37</v>
      </c>
      <c r="D144" s="73" t="s">
        <v>256</v>
      </c>
      <c r="E144" s="73" t="s">
        <v>42</v>
      </c>
      <c r="F144" s="73" t="s">
        <v>57</v>
      </c>
      <c r="G144" s="92">
        <v>10</v>
      </c>
      <c r="H144" s="93">
        <v>0</v>
      </c>
      <c r="I144" s="93">
        <f t="shared" si="10"/>
        <v>0</v>
      </c>
      <c r="J144" s="93">
        <v>0</v>
      </c>
      <c r="K144" s="122">
        <v>0</v>
      </c>
      <c r="L144" s="93">
        <v>0</v>
      </c>
      <c r="M144" s="94">
        <v>0</v>
      </c>
      <c r="N144" s="95">
        <f t="shared" si="13"/>
        <v>10</v>
      </c>
      <c r="O144" s="93">
        <f t="shared" si="11"/>
        <v>0</v>
      </c>
      <c r="P144" s="96">
        <f t="shared" si="12"/>
        <v>0</v>
      </c>
      <c r="Q144" s="109" t="s">
        <v>352</v>
      </c>
      <c r="R144" s="119"/>
      <c r="S144" s="119"/>
      <c r="T144" s="99"/>
      <c r="U144" s="100"/>
    </row>
    <row r="145" spans="1:21" s="64" customFormat="1" ht="28" customHeight="1" x14ac:dyDescent="0.25">
      <c r="A145" s="73">
        <v>134</v>
      </c>
      <c r="B145" s="79" t="s">
        <v>140</v>
      </c>
      <c r="C145" s="79" t="s">
        <v>37</v>
      </c>
      <c r="D145" s="73" t="s">
        <v>147</v>
      </c>
      <c r="E145" s="73" t="s">
        <v>103</v>
      </c>
      <c r="F145" s="73" t="s">
        <v>57</v>
      </c>
      <c r="G145" s="92">
        <v>3</v>
      </c>
      <c r="H145" s="93">
        <v>0</v>
      </c>
      <c r="I145" s="93">
        <f t="shared" si="10"/>
        <v>0</v>
      </c>
      <c r="J145" s="93">
        <v>2</v>
      </c>
      <c r="K145" s="122">
        <v>1</v>
      </c>
      <c r="L145" s="93">
        <v>810</v>
      </c>
      <c r="M145" s="94">
        <v>46201</v>
      </c>
      <c r="N145" s="95">
        <f t="shared" si="13"/>
        <v>3</v>
      </c>
      <c r="O145" s="93">
        <f t="shared" si="11"/>
        <v>810</v>
      </c>
      <c r="P145" s="96">
        <f t="shared" si="12"/>
        <v>2430</v>
      </c>
      <c r="Q145" s="109" t="s">
        <v>352</v>
      </c>
      <c r="R145" s="119"/>
      <c r="S145" s="119"/>
      <c r="T145" s="99"/>
      <c r="U145" s="100"/>
    </row>
    <row r="146" spans="1:21" s="64" customFormat="1" ht="28" customHeight="1" x14ac:dyDescent="0.25">
      <c r="A146" s="73">
        <v>135</v>
      </c>
      <c r="B146" s="79" t="s">
        <v>257</v>
      </c>
      <c r="C146" s="79" t="s">
        <v>37</v>
      </c>
      <c r="D146" s="73"/>
      <c r="E146" s="73" t="s">
        <v>103</v>
      </c>
      <c r="F146" s="73" t="s">
        <v>325</v>
      </c>
      <c r="G146" s="92">
        <v>20</v>
      </c>
      <c r="H146" s="93">
        <v>8</v>
      </c>
      <c r="I146" s="93">
        <f t="shared" si="10"/>
        <v>2</v>
      </c>
      <c r="J146" s="93">
        <v>16</v>
      </c>
      <c r="K146" s="122">
        <v>32</v>
      </c>
      <c r="L146" s="93">
        <v>28</v>
      </c>
      <c r="M146" s="94">
        <v>46123</v>
      </c>
      <c r="N146" s="95">
        <f t="shared" si="13"/>
        <v>12</v>
      </c>
      <c r="O146" s="93">
        <f t="shared" si="11"/>
        <v>28</v>
      </c>
      <c r="P146" s="96">
        <f t="shared" si="12"/>
        <v>336</v>
      </c>
      <c r="Q146" s="109" t="s">
        <v>352</v>
      </c>
      <c r="R146" s="119"/>
      <c r="S146" s="119"/>
      <c r="T146" s="99"/>
      <c r="U146" s="100"/>
    </row>
    <row r="147" spans="1:21" s="64" customFormat="1" ht="28" customHeight="1" x14ac:dyDescent="0.25">
      <c r="A147" s="73">
        <v>136</v>
      </c>
      <c r="B147" s="81" t="s">
        <v>258</v>
      </c>
      <c r="C147" s="79" t="s">
        <v>37</v>
      </c>
      <c r="D147" s="73"/>
      <c r="E147" s="73" t="s">
        <v>103</v>
      </c>
      <c r="F147" s="73" t="s">
        <v>259</v>
      </c>
      <c r="G147" s="92">
        <v>5</v>
      </c>
      <c r="H147" s="93">
        <v>0</v>
      </c>
      <c r="I147" s="93">
        <f t="shared" si="10"/>
        <v>0</v>
      </c>
      <c r="J147" s="93">
        <v>0</v>
      </c>
      <c r="K147" s="122">
        <v>5</v>
      </c>
      <c r="L147" s="93">
        <v>150</v>
      </c>
      <c r="M147" s="94">
        <v>45826</v>
      </c>
      <c r="N147" s="95">
        <f t="shared" si="13"/>
        <v>5</v>
      </c>
      <c r="O147" s="93">
        <f t="shared" si="11"/>
        <v>150</v>
      </c>
      <c r="P147" s="96">
        <f t="shared" si="12"/>
        <v>750</v>
      </c>
      <c r="Q147" s="109" t="s">
        <v>352</v>
      </c>
      <c r="R147" s="119"/>
      <c r="S147" s="119"/>
      <c r="T147" s="99"/>
      <c r="U147" s="100"/>
    </row>
    <row r="148" spans="1:21" s="64" customFormat="1" ht="28" customHeight="1" x14ac:dyDescent="0.25">
      <c r="A148" s="73">
        <v>137</v>
      </c>
      <c r="B148" s="79" t="s">
        <v>62</v>
      </c>
      <c r="C148" s="79" t="s">
        <v>43</v>
      </c>
      <c r="D148" s="73" t="s">
        <v>64</v>
      </c>
      <c r="E148" s="73" t="s">
        <v>103</v>
      </c>
      <c r="F148" s="73" t="s">
        <v>46</v>
      </c>
      <c r="G148" s="92">
        <v>500</v>
      </c>
      <c r="H148" s="93">
        <v>418.1</v>
      </c>
      <c r="I148" s="93">
        <f t="shared" si="10"/>
        <v>35</v>
      </c>
      <c r="J148" s="93">
        <v>300</v>
      </c>
      <c r="K148" s="122">
        <v>418.1</v>
      </c>
      <c r="L148" s="93">
        <v>220</v>
      </c>
      <c r="M148" s="94">
        <v>46228</v>
      </c>
      <c r="N148" s="95">
        <f t="shared" si="13"/>
        <v>81.899999999999977</v>
      </c>
      <c r="O148" s="93">
        <f t="shared" si="11"/>
        <v>220</v>
      </c>
      <c r="P148" s="96">
        <f t="shared" si="12"/>
        <v>18017.999999999996</v>
      </c>
      <c r="Q148" s="109" t="s">
        <v>44</v>
      </c>
      <c r="R148" s="119"/>
      <c r="S148" s="119"/>
      <c r="T148" s="99"/>
      <c r="U148" s="100"/>
    </row>
    <row r="149" spans="1:21" s="64" customFormat="1" ht="28" customHeight="1" x14ac:dyDescent="0.25">
      <c r="A149" s="73">
        <v>138</v>
      </c>
      <c r="B149" s="79" t="s">
        <v>56</v>
      </c>
      <c r="C149" s="79" t="s">
        <v>43</v>
      </c>
      <c r="D149" s="73" t="s">
        <v>63</v>
      </c>
      <c r="E149" s="73" t="s">
        <v>103</v>
      </c>
      <c r="F149" s="73" t="s">
        <v>46</v>
      </c>
      <c r="G149" s="92">
        <v>1000</v>
      </c>
      <c r="H149" s="93">
        <v>591</v>
      </c>
      <c r="I149" s="93">
        <f t="shared" si="10"/>
        <v>71</v>
      </c>
      <c r="J149" s="93">
        <v>614</v>
      </c>
      <c r="K149" s="122">
        <v>419</v>
      </c>
      <c r="L149" s="93">
        <v>68</v>
      </c>
      <c r="M149" s="94">
        <v>46221</v>
      </c>
      <c r="N149" s="95">
        <f t="shared" si="13"/>
        <v>409</v>
      </c>
      <c r="O149" s="93">
        <f t="shared" si="11"/>
        <v>68</v>
      </c>
      <c r="P149" s="96">
        <f t="shared" si="12"/>
        <v>27812</v>
      </c>
      <c r="Q149" s="109" t="s">
        <v>44</v>
      </c>
      <c r="R149" s="119"/>
      <c r="S149" s="119"/>
      <c r="T149" s="99"/>
      <c r="U149" s="100"/>
    </row>
    <row r="150" spans="1:21" s="64" customFormat="1" ht="28" customHeight="1" x14ac:dyDescent="0.25">
      <c r="A150" s="73">
        <v>139</v>
      </c>
      <c r="B150" s="79" t="s">
        <v>48</v>
      </c>
      <c r="C150" s="79" t="s">
        <v>45</v>
      </c>
      <c r="D150" s="73"/>
      <c r="E150" s="73" t="s">
        <v>103</v>
      </c>
      <c r="F150" s="73" t="s">
        <v>46</v>
      </c>
      <c r="G150" s="92">
        <v>10</v>
      </c>
      <c r="H150" s="93">
        <v>0</v>
      </c>
      <c r="I150" s="93">
        <f t="shared" si="10"/>
        <v>1</v>
      </c>
      <c r="J150" s="93">
        <v>10</v>
      </c>
      <c r="K150" s="122">
        <v>5</v>
      </c>
      <c r="L150" s="93">
        <v>170</v>
      </c>
      <c r="M150" s="94">
        <v>46222</v>
      </c>
      <c r="N150" s="95">
        <f t="shared" si="13"/>
        <v>10</v>
      </c>
      <c r="O150" s="93">
        <f t="shared" si="11"/>
        <v>170</v>
      </c>
      <c r="P150" s="96">
        <f t="shared" si="12"/>
        <v>1700</v>
      </c>
      <c r="Q150" s="109" t="s">
        <v>44</v>
      </c>
      <c r="R150" s="119"/>
      <c r="S150" s="119"/>
      <c r="T150" s="99"/>
      <c r="U150" s="100"/>
    </row>
    <row r="151" spans="1:21" s="64" customFormat="1" ht="28" customHeight="1" x14ac:dyDescent="0.25">
      <c r="A151" s="73">
        <v>140</v>
      </c>
      <c r="B151" s="79" t="s">
        <v>107</v>
      </c>
      <c r="C151" s="79" t="s">
        <v>37</v>
      </c>
      <c r="D151" s="73" t="s">
        <v>332</v>
      </c>
      <c r="E151" s="73" t="s">
        <v>103</v>
      </c>
      <c r="F151" s="73" t="s">
        <v>46</v>
      </c>
      <c r="G151" s="92">
        <v>1000</v>
      </c>
      <c r="H151" s="93">
        <v>667</v>
      </c>
      <c r="I151" s="93">
        <f t="shared" si="10"/>
        <v>58</v>
      </c>
      <c r="J151" s="93">
        <v>500</v>
      </c>
      <c r="K151" s="122">
        <v>600</v>
      </c>
      <c r="L151" s="93">
        <v>2.5</v>
      </c>
      <c r="M151" s="94">
        <v>46222</v>
      </c>
      <c r="N151" s="95">
        <f t="shared" si="13"/>
        <v>333</v>
      </c>
      <c r="O151" s="93">
        <f t="shared" si="11"/>
        <v>2.5</v>
      </c>
      <c r="P151" s="96">
        <f t="shared" si="12"/>
        <v>832.5</v>
      </c>
      <c r="Q151" s="109" t="s">
        <v>44</v>
      </c>
      <c r="R151" s="119"/>
      <c r="S151" s="119"/>
      <c r="T151" s="99"/>
      <c r="U151" s="100"/>
    </row>
    <row r="152" spans="1:21" s="64" customFormat="1" ht="28" customHeight="1" x14ac:dyDescent="0.25">
      <c r="A152" s="73">
        <v>141</v>
      </c>
      <c r="B152" s="81" t="s">
        <v>95</v>
      </c>
      <c r="C152" s="79" t="s">
        <v>37</v>
      </c>
      <c r="D152" s="73" t="s">
        <v>148</v>
      </c>
      <c r="E152" s="73" t="s">
        <v>103</v>
      </c>
      <c r="F152" s="73" t="s">
        <v>46</v>
      </c>
      <c r="G152" s="92">
        <v>400</v>
      </c>
      <c r="H152" s="93">
        <v>272</v>
      </c>
      <c r="I152" s="93">
        <f t="shared" si="10"/>
        <v>55</v>
      </c>
      <c r="J152" s="93">
        <v>474</v>
      </c>
      <c r="K152" s="122">
        <v>591</v>
      </c>
      <c r="L152" s="93">
        <v>27</v>
      </c>
      <c r="M152" s="94">
        <v>46221</v>
      </c>
      <c r="N152" s="95">
        <f t="shared" si="13"/>
        <v>128</v>
      </c>
      <c r="O152" s="93">
        <f t="shared" si="11"/>
        <v>27</v>
      </c>
      <c r="P152" s="96">
        <f t="shared" si="12"/>
        <v>3456</v>
      </c>
      <c r="Q152" s="109" t="s">
        <v>44</v>
      </c>
      <c r="R152" s="119"/>
      <c r="S152" s="119"/>
      <c r="T152" s="99"/>
      <c r="U152" s="100"/>
    </row>
    <row r="153" spans="1:21" s="64" customFormat="1" ht="28" customHeight="1" x14ac:dyDescent="0.25">
      <c r="A153" s="73">
        <v>142</v>
      </c>
      <c r="B153" s="73" t="s">
        <v>157</v>
      </c>
      <c r="C153" s="85" t="s">
        <v>37</v>
      </c>
      <c r="D153" s="73" t="s">
        <v>158</v>
      </c>
      <c r="E153" s="73" t="s">
        <v>103</v>
      </c>
      <c r="F153" s="73" t="s">
        <v>46</v>
      </c>
      <c r="G153" s="92">
        <v>60</v>
      </c>
      <c r="H153" s="93">
        <v>24</v>
      </c>
      <c r="I153" s="93">
        <f t="shared" si="10"/>
        <v>2</v>
      </c>
      <c r="J153" s="93">
        <v>13</v>
      </c>
      <c r="K153" s="122">
        <v>24</v>
      </c>
      <c r="L153" s="93">
        <v>42</v>
      </c>
      <c r="M153" s="94">
        <v>46167</v>
      </c>
      <c r="N153" s="95">
        <f t="shared" si="13"/>
        <v>36</v>
      </c>
      <c r="O153" s="93">
        <f t="shared" si="11"/>
        <v>42</v>
      </c>
      <c r="P153" s="96">
        <f t="shared" si="12"/>
        <v>1512</v>
      </c>
      <c r="Q153" s="109" t="s">
        <v>44</v>
      </c>
      <c r="R153" s="119"/>
      <c r="S153" s="119"/>
      <c r="T153" s="99"/>
      <c r="U153" s="100"/>
    </row>
    <row r="154" spans="1:21" s="64" customFormat="1" ht="28" customHeight="1" x14ac:dyDescent="0.25">
      <c r="A154" s="73">
        <v>143</v>
      </c>
      <c r="B154" s="73" t="s">
        <v>141</v>
      </c>
      <c r="C154" s="85" t="s">
        <v>37</v>
      </c>
      <c r="D154" s="73" t="s">
        <v>333</v>
      </c>
      <c r="E154" s="73" t="s">
        <v>103</v>
      </c>
      <c r="F154" s="73" t="s">
        <v>46</v>
      </c>
      <c r="G154" s="92">
        <v>4</v>
      </c>
      <c r="H154" s="93">
        <v>0</v>
      </c>
      <c r="I154" s="93">
        <f t="shared" si="10"/>
        <v>0</v>
      </c>
      <c r="J154" s="93">
        <v>0</v>
      </c>
      <c r="K154" s="122">
        <v>2</v>
      </c>
      <c r="L154" s="93">
        <v>3500</v>
      </c>
      <c r="M154" s="94">
        <v>46092</v>
      </c>
      <c r="N154" s="95">
        <f t="shared" si="13"/>
        <v>4</v>
      </c>
      <c r="O154" s="93">
        <f t="shared" si="11"/>
        <v>3500</v>
      </c>
      <c r="P154" s="96">
        <f t="shared" si="12"/>
        <v>14000</v>
      </c>
      <c r="Q154" s="109" t="s">
        <v>353</v>
      </c>
      <c r="R154" s="119"/>
      <c r="S154" s="119"/>
      <c r="T154" s="99"/>
      <c r="U154" s="100"/>
    </row>
    <row r="155" spans="1:21" s="64" customFormat="1" ht="33.75" customHeight="1" x14ac:dyDescent="0.25">
      <c r="A155" s="73">
        <v>144</v>
      </c>
      <c r="B155" s="79" t="s">
        <v>159</v>
      </c>
      <c r="C155" s="79" t="s">
        <v>37</v>
      </c>
      <c r="D155" s="73" t="s">
        <v>160</v>
      </c>
      <c r="E155" s="73" t="s">
        <v>103</v>
      </c>
      <c r="F155" s="73" t="s">
        <v>46</v>
      </c>
      <c r="G155" s="92">
        <v>12</v>
      </c>
      <c r="H155" s="93">
        <v>1</v>
      </c>
      <c r="I155" s="93">
        <f t="shared" si="10"/>
        <v>2</v>
      </c>
      <c r="J155" s="93">
        <v>14</v>
      </c>
      <c r="K155" s="122">
        <v>5</v>
      </c>
      <c r="L155" s="93">
        <v>28</v>
      </c>
      <c r="M155" s="94">
        <v>46222</v>
      </c>
      <c r="N155" s="95">
        <f t="shared" si="13"/>
        <v>11</v>
      </c>
      <c r="O155" s="93">
        <f t="shared" si="11"/>
        <v>28</v>
      </c>
      <c r="P155" s="96">
        <f t="shared" si="12"/>
        <v>308</v>
      </c>
      <c r="Q155" s="109" t="s">
        <v>352</v>
      </c>
      <c r="R155" s="119"/>
      <c r="S155" s="119"/>
      <c r="T155" s="99"/>
      <c r="U155" s="100"/>
    </row>
    <row r="156" spans="1:21" s="64" customFormat="1" ht="28" customHeight="1" x14ac:dyDescent="0.25">
      <c r="A156" s="73">
        <v>145</v>
      </c>
      <c r="B156" s="79" t="s">
        <v>161</v>
      </c>
      <c r="C156" s="79" t="s">
        <v>37</v>
      </c>
      <c r="D156" s="73" t="s">
        <v>162</v>
      </c>
      <c r="E156" s="73" t="s">
        <v>103</v>
      </c>
      <c r="F156" s="73" t="s">
        <v>46</v>
      </c>
      <c r="G156" s="92">
        <v>5</v>
      </c>
      <c r="H156" s="93">
        <v>4</v>
      </c>
      <c r="I156" s="93">
        <f t="shared" si="10"/>
        <v>0</v>
      </c>
      <c r="J156" s="93">
        <v>1</v>
      </c>
      <c r="K156" s="122">
        <v>1</v>
      </c>
      <c r="L156" s="93">
        <v>750</v>
      </c>
      <c r="M156" s="94">
        <v>46221</v>
      </c>
      <c r="N156" s="95">
        <f t="shared" si="13"/>
        <v>1</v>
      </c>
      <c r="O156" s="93">
        <f t="shared" si="11"/>
        <v>750</v>
      </c>
      <c r="P156" s="96">
        <f t="shared" si="12"/>
        <v>750</v>
      </c>
      <c r="Q156" s="109" t="s">
        <v>352</v>
      </c>
      <c r="R156" s="119"/>
      <c r="S156" s="119"/>
      <c r="T156" s="99"/>
      <c r="U156" s="100"/>
    </row>
    <row r="157" spans="1:21" s="64" customFormat="1" ht="28" customHeight="1" x14ac:dyDescent="0.25">
      <c r="A157" s="73">
        <v>146</v>
      </c>
      <c r="B157" s="73" t="s">
        <v>260</v>
      </c>
      <c r="C157" s="79" t="s">
        <v>37</v>
      </c>
      <c r="D157" s="73"/>
      <c r="E157" s="73" t="s">
        <v>103</v>
      </c>
      <c r="F157" s="73" t="s">
        <v>46</v>
      </c>
      <c r="G157" s="92">
        <v>50</v>
      </c>
      <c r="H157" s="93">
        <v>0</v>
      </c>
      <c r="I157" s="93">
        <f t="shared" si="10"/>
        <v>5</v>
      </c>
      <c r="J157" s="93">
        <v>46</v>
      </c>
      <c r="K157" s="122">
        <v>51</v>
      </c>
      <c r="L157" s="93">
        <v>6</v>
      </c>
      <c r="M157" s="94">
        <v>46193</v>
      </c>
      <c r="N157" s="95">
        <f t="shared" si="13"/>
        <v>50</v>
      </c>
      <c r="O157" s="93">
        <f t="shared" si="11"/>
        <v>6</v>
      </c>
      <c r="P157" s="96">
        <f t="shared" si="12"/>
        <v>300</v>
      </c>
      <c r="Q157" s="109" t="s">
        <v>44</v>
      </c>
      <c r="R157" s="119"/>
      <c r="S157" s="119"/>
      <c r="T157" s="99"/>
      <c r="U157" s="100"/>
    </row>
    <row r="158" spans="1:21" s="64" customFormat="1" ht="28" customHeight="1" x14ac:dyDescent="0.25">
      <c r="A158" s="73">
        <v>147</v>
      </c>
      <c r="B158" s="79" t="s">
        <v>261</v>
      </c>
      <c r="C158" s="79" t="s">
        <v>37</v>
      </c>
      <c r="D158" s="73" t="s">
        <v>262</v>
      </c>
      <c r="E158" s="73" t="s">
        <v>103</v>
      </c>
      <c r="F158" s="73" t="s">
        <v>46</v>
      </c>
      <c r="G158" s="92">
        <v>500</v>
      </c>
      <c r="H158" s="93">
        <v>100</v>
      </c>
      <c r="I158" s="93">
        <f t="shared" si="10"/>
        <v>30</v>
      </c>
      <c r="J158" s="93">
        <v>260</v>
      </c>
      <c r="K158" s="122">
        <v>160</v>
      </c>
      <c r="L158" s="93">
        <v>17</v>
      </c>
      <c r="M158" s="94">
        <v>46191</v>
      </c>
      <c r="N158" s="95">
        <f t="shared" si="13"/>
        <v>400</v>
      </c>
      <c r="O158" s="93">
        <f t="shared" si="11"/>
        <v>17</v>
      </c>
      <c r="P158" s="96">
        <f t="shared" si="12"/>
        <v>6800</v>
      </c>
      <c r="Q158" s="109" t="s">
        <v>44</v>
      </c>
      <c r="R158" s="119"/>
      <c r="S158" s="119"/>
      <c r="T158" s="99"/>
      <c r="U158" s="100"/>
    </row>
    <row r="159" spans="1:21" s="64" customFormat="1" ht="28" customHeight="1" x14ac:dyDescent="0.25">
      <c r="A159" s="73">
        <v>148</v>
      </c>
      <c r="B159" s="81" t="s">
        <v>142</v>
      </c>
      <c r="C159" s="79" t="s">
        <v>37</v>
      </c>
      <c r="D159" s="73" t="s">
        <v>149</v>
      </c>
      <c r="E159" s="73" t="s">
        <v>103</v>
      </c>
      <c r="F159" s="73" t="s">
        <v>46</v>
      </c>
      <c r="G159" s="92">
        <v>200</v>
      </c>
      <c r="H159" s="93">
        <v>0</v>
      </c>
      <c r="I159" s="93">
        <f t="shared" si="10"/>
        <v>12</v>
      </c>
      <c r="J159" s="93">
        <v>100</v>
      </c>
      <c r="K159" s="122">
        <v>40</v>
      </c>
      <c r="L159" s="93">
        <v>17</v>
      </c>
      <c r="M159" s="94">
        <v>46222</v>
      </c>
      <c r="N159" s="95">
        <f t="shared" si="13"/>
        <v>200</v>
      </c>
      <c r="O159" s="93">
        <f t="shared" si="11"/>
        <v>17</v>
      </c>
      <c r="P159" s="96">
        <f t="shared" si="12"/>
        <v>3400</v>
      </c>
      <c r="Q159" s="109" t="s">
        <v>353</v>
      </c>
      <c r="R159" s="119"/>
      <c r="S159" s="119"/>
      <c r="T159" s="99"/>
      <c r="U159" s="100"/>
    </row>
    <row r="160" spans="1:21" s="64" customFormat="1" ht="28" customHeight="1" x14ac:dyDescent="0.25">
      <c r="A160" s="73">
        <v>149</v>
      </c>
      <c r="B160" s="79" t="s">
        <v>78</v>
      </c>
      <c r="C160" s="79" t="s">
        <v>37</v>
      </c>
      <c r="D160" s="73" t="s">
        <v>79</v>
      </c>
      <c r="E160" s="73" t="s">
        <v>103</v>
      </c>
      <c r="F160" s="73" t="s">
        <v>46</v>
      </c>
      <c r="G160" s="92">
        <v>20</v>
      </c>
      <c r="H160" s="93">
        <v>11</v>
      </c>
      <c r="I160" s="93">
        <f t="shared" si="10"/>
        <v>1</v>
      </c>
      <c r="J160" s="93">
        <v>10</v>
      </c>
      <c r="K160" s="122">
        <v>10</v>
      </c>
      <c r="L160" s="93">
        <v>95</v>
      </c>
      <c r="M160" s="94">
        <v>46222</v>
      </c>
      <c r="N160" s="95">
        <f t="shared" si="13"/>
        <v>9</v>
      </c>
      <c r="O160" s="93">
        <f t="shared" si="11"/>
        <v>95</v>
      </c>
      <c r="P160" s="96">
        <f t="shared" si="12"/>
        <v>855</v>
      </c>
      <c r="Q160" s="109" t="s">
        <v>44</v>
      </c>
      <c r="R160" s="119"/>
      <c r="S160" s="119"/>
      <c r="T160" s="99"/>
      <c r="U160" s="100"/>
    </row>
    <row r="161" spans="1:21" s="64" customFormat="1" ht="28" customHeight="1" x14ac:dyDescent="0.25">
      <c r="A161" s="73">
        <v>150</v>
      </c>
      <c r="B161" s="79" t="s">
        <v>263</v>
      </c>
      <c r="C161" s="79" t="s">
        <v>37</v>
      </c>
      <c r="D161" s="73" t="s">
        <v>156</v>
      </c>
      <c r="E161" s="73" t="s">
        <v>103</v>
      </c>
      <c r="F161" s="73" t="s">
        <v>46</v>
      </c>
      <c r="G161" s="92">
        <v>12</v>
      </c>
      <c r="H161" s="93">
        <v>0</v>
      </c>
      <c r="I161" s="93">
        <f t="shared" si="10"/>
        <v>1</v>
      </c>
      <c r="J161" s="93">
        <v>5</v>
      </c>
      <c r="K161" s="122">
        <v>8</v>
      </c>
      <c r="L161" s="93">
        <v>45</v>
      </c>
      <c r="M161" s="94">
        <v>46123</v>
      </c>
      <c r="N161" s="95">
        <f t="shared" si="13"/>
        <v>12</v>
      </c>
      <c r="O161" s="93">
        <f t="shared" si="11"/>
        <v>45</v>
      </c>
      <c r="P161" s="96">
        <f t="shared" si="12"/>
        <v>540</v>
      </c>
      <c r="Q161" s="109" t="s">
        <v>352</v>
      </c>
      <c r="R161" s="119"/>
      <c r="S161" s="119"/>
      <c r="T161" s="99"/>
      <c r="U161" s="100"/>
    </row>
    <row r="162" spans="1:21" s="64" customFormat="1" ht="28" customHeight="1" x14ac:dyDescent="0.25">
      <c r="A162" s="73">
        <v>151</v>
      </c>
      <c r="B162" s="73" t="s">
        <v>70</v>
      </c>
      <c r="C162" s="79" t="s">
        <v>40</v>
      </c>
      <c r="D162" s="73" t="s">
        <v>163</v>
      </c>
      <c r="E162" s="73" t="s">
        <v>103</v>
      </c>
      <c r="F162" s="73" t="s">
        <v>320</v>
      </c>
      <c r="G162" s="92">
        <v>50</v>
      </c>
      <c r="H162" s="93">
        <v>31</v>
      </c>
      <c r="I162" s="93">
        <f t="shared" si="10"/>
        <v>3</v>
      </c>
      <c r="J162" s="93">
        <v>25</v>
      </c>
      <c r="K162" s="122">
        <v>18</v>
      </c>
      <c r="L162" s="93">
        <v>220</v>
      </c>
      <c r="M162" s="94">
        <v>46229</v>
      </c>
      <c r="N162" s="95">
        <f t="shared" si="13"/>
        <v>19</v>
      </c>
      <c r="O162" s="93">
        <f t="shared" si="11"/>
        <v>220</v>
      </c>
      <c r="P162" s="96">
        <f t="shared" si="12"/>
        <v>4180</v>
      </c>
      <c r="Q162" s="109" t="s">
        <v>167</v>
      </c>
      <c r="R162" s="119"/>
      <c r="S162" s="119"/>
      <c r="T162" s="99"/>
      <c r="U162" s="100"/>
    </row>
    <row r="163" spans="1:21" s="114" customFormat="1" ht="28" customHeight="1" x14ac:dyDescent="0.25">
      <c r="A163" s="73">
        <v>152</v>
      </c>
      <c r="B163" s="110" t="s">
        <v>109</v>
      </c>
      <c r="C163" s="117" t="s">
        <v>41</v>
      </c>
      <c r="D163" s="110" t="s">
        <v>110</v>
      </c>
      <c r="E163" s="73" t="s">
        <v>103</v>
      </c>
      <c r="F163" s="73" t="s">
        <v>46</v>
      </c>
      <c r="G163" s="118">
        <v>15</v>
      </c>
      <c r="H163" s="93">
        <v>9</v>
      </c>
      <c r="I163" s="93">
        <f t="shared" si="10"/>
        <v>1</v>
      </c>
      <c r="J163" s="93">
        <v>7</v>
      </c>
      <c r="K163" s="122">
        <v>5</v>
      </c>
      <c r="L163" s="93">
        <v>350</v>
      </c>
      <c r="M163" s="94">
        <v>46222</v>
      </c>
      <c r="N163" s="95">
        <f t="shared" si="13"/>
        <v>6</v>
      </c>
      <c r="O163" s="93">
        <f t="shared" si="11"/>
        <v>350</v>
      </c>
      <c r="P163" s="96">
        <f t="shared" si="12"/>
        <v>2100</v>
      </c>
      <c r="Q163" s="109" t="s">
        <v>44</v>
      </c>
      <c r="R163" s="119"/>
      <c r="S163" s="119"/>
      <c r="T163" s="112"/>
      <c r="U163" s="113"/>
    </row>
    <row r="164" spans="1:21" s="64" customFormat="1" ht="28" customHeight="1" x14ac:dyDescent="0.25">
      <c r="A164" s="73">
        <v>153</v>
      </c>
      <c r="B164" s="81" t="s">
        <v>112</v>
      </c>
      <c r="C164" s="79" t="s">
        <v>68</v>
      </c>
      <c r="D164" s="73" t="s">
        <v>111</v>
      </c>
      <c r="E164" s="73" t="s">
        <v>103</v>
      </c>
      <c r="F164" s="73" t="s">
        <v>46</v>
      </c>
      <c r="G164" s="92">
        <v>20</v>
      </c>
      <c r="H164" s="93">
        <v>0</v>
      </c>
      <c r="I164" s="93">
        <f t="shared" si="10"/>
        <v>0</v>
      </c>
      <c r="J164" s="93">
        <v>0</v>
      </c>
      <c r="K164" s="122">
        <v>30</v>
      </c>
      <c r="L164" s="93">
        <v>65</v>
      </c>
      <c r="M164" s="94">
        <v>45566</v>
      </c>
      <c r="N164" s="95">
        <f t="shared" si="13"/>
        <v>20</v>
      </c>
      <c r="O164" s="93">
        <f t="shared" si="11"/>
        <v>65</v>
      </c>
      <c r="P164" s="96">
        <f t="shared" si="12"/>
        <v>1300</v>
      </c>
      <c r="Q164" s="109" t="s">
        <v>354</v>
      </c>
      <c r="R164" s="119"/>
      <c r="S164" s="119"/>
      <c r="T164" s="99"/>
      <c r="U164" s="100"/>
    </row>
    <row r="165" spans="1:21" s="64" customFormat="1" ht="28" customHeight="1" x14ac:dyDescent="0.25">
      <c r="A165" s="73">
        <v>154</v>
      </c>
      <c r="B165" s="73" t="s">
        <v>113</v>
      </c>
      <c r="C165" s="85" t="s">
        <v>68</v>
      </c>
      <c r="D165" s="73" t="s">
        <v>111</v>
      </c>
      <c r="E165" s="73" t="s">
        <v>103</v>
      </c>
      <c r="F165" s="73" t="s">
        <v>46</v>
      </c>
      <c r="G165" s="92">
        <v>30</v>
      </c>
      <c r="H165" s="93">
        <v>0</v>
      </c>
      <c r="I165" s="93">
        <f t="shared" si="10"/>
        <v>0</v>
      </c>
      <c r="J165" s="93">
        <v>0</v>
      </c>
      <c r="K165" s="122">
        <v>40</v>
      </c>
      <c r="L165" s="93">
        <v>68.25</v>
      </c>
      <c r="M165" s="94">
        <v>45859</v>
      </c>
      <c r="N165" s="95">
        <f t="shared" si="13"/>
        <v>30</v>
      </c>
      <c r="O165" s="93">
        <f t="shared" si="11"/>
        <v>68.25</v>
      </c>
      <c r="P165" s="96">
        <f t="shared" si="12"/>
        <v>2047.5</v>
      </c>
      <c r="Q165" s="109" t="s">
        <v>354</v>
      </c>
      <c r="R165" s="119"/>
      <c r="S165" s="119"/>
      <c r="T165" s="99"/>
      <c r="U165" s="100"/>
    </row>
    <row r="166" spans="1:21" s="64" customFormat="1" ht="28" customHeight="1" x14ac:dyDescent="0.25">
      <c r="A166" s="73">
        <v>155</v>
      </c>
      <c r="B166" s="79" t="s">
        <v>264</v>
      </c>
      <c r="C166" s="79" t="s">
        <v>37</v>
      </c>
      <c r="D166" s="73" t="s">
        <v>265</v>
      </c>
      <c r="E166" s="73" t="s">
        <v>103</v>
      </c>
      <c r="F166" s="73" t="s">
        <v>46</v>
      </c>
      <c r="G166" s="92">
        <v>10</v>
      </c>
      <c r="H166" s="93">
        <v>9</v>
      </c>
      <c r="I166" s="93">
        <f t="shared" ref="I166:I175" si="14">ROUND(J166/26*3,0)</f>
        <v>2</v>
      </c>
      <c r="J166" s="93">
        <v>16</v>
      </c>
      <c r="K166" s="122">
        <v>6</v>
      </c>
      <c r="L166" s="93">
        <v>18</v>
      </c>
      <c r="M166" s="94">
        <v>46222</v>
      </c>
      <c r="N166" s="95">
        <f t="shared" si="13"/>
        <v>1</v>
      </c>
      <c r="O166" s="93">
        <f t="shared" ref="O166:O176" si="15">L166</f>
        <v>18</v>
      </c>
      <c r="P166" s="96">
        <f t="shared" ref="P166:P176" si="16">N166*O166</f>
        <v>18</v>
      </c>
      <c r="Q166" s="109" t="s">
        <v>352</v>
      </c>
      <c r="R166" s="119"/>
      <c r="S166" s="119"/>
      <c r="T166" s="99"/>
      <c r="U166" s="100"/>
    </row>
    <row r="167" spans="1:21" s="64" customFormat="1" ht="28" customHeight="1" x14ac:dyDescent="0.25">
      <c r="A167" s="73">
        <v>156</v>
      </c>
      <c r="B167" s="79" t="s">
        <v>266</v>
      </c>
      <c r="C167" s="79" t="s">
        <v>208</v>
      </c>
      <c r="D167" s="73" t="s">
        <v>267</v>
      </c>
      <c r="E167" s="73" t="s">
        <v>103</v>
      </c>
      <c r="F167" s="73" t="s">
        <v>46</v>
      </c>
      <c r="G167" s="92">
        <v>50</v>
      </c>
      <c r="H167" s="93">
        <v>48</v>
      </c>
      <c r="I167" s="93">
        <f t="shared" si="14"/>
        <v>0</v>
      </c>
      <c r="J167" s="93">
        <v>0</v>
      </c>
      <c r="K167" s="122">
        <v>48</v>
      </c>
      <c r="L167" s="93">
        <v>65</v>
      </c>
      <c r="M167" s="94">
        <v>46191</v>
      </c>
      <c r="N167" s="95">
        <f t="shared" si="13"/>
        <v>2</v>
      </c>
      <c r="O167" s="93">
        <f t="shared" si="15"/>
        <v>65</v>
      </c>
      <c r="P167" s="96">
        <f t="shared" si="16"/>
        <v>130</v>
      </c>
      <c r="Q167" s="109" t="s">
        <v>44</v>
      </c>
      <c r="R167" s="119"/>
      <c r="S167" s="119"/>
      <c r="T167" s="99"/>
      <c r="U167" s="100"/>
    </row>
    <row r="168" spans="1:21" s="64" customFormat="1" ht="28" customHeight="1" x14ac:dyDescent="0.25">
      <c r="A168" s="73">
        <v>157</v>
      </c>
      <c r="B168" s="79" t="s">
        <v>322</v>
      </c>
      <c r="C168" s="79" t="s">
        <v>43</v>
      </c>
      <c r="D168" s="73"/>
      <c r="E168" s="73" t="s">
        <v>103</v>
      </c>
      <c r="F168" s="73" t="s">
        <v>46</v>
      </c>
      <c r="G168" s="92">
        <v>50</v>
      </c>
      <c r="H168" s="93">
        <v>31.751000000000001</v>
      </c>
      <c r="I168" s="93">
        <f t="shared" si="14"/>
        <v>0</v>
      </c>
      <c r="J168" s="93">
        <v>0</v>
      </c>
      <c r="K168" s="122">
        <v>31.751000000000001</v>
      </c>
      <c r="L168" s="93">
        <v>418.88</v>
      </c>
      <c r="M168" s="94">
        <v>46222</v>
      </c>
      <c r="N168" s="95">
        <f t="shared" si="13"/>
        <v>18.248999999999999</v>
      </c>
      <c r="O168" s="93">
        <f t="shared" si="15"/>
        <v>418.88</v>
      </c>
      <c r="P168" s="96">
        <f t="shared" si="16"/>
        <v>7644.1411199999993</v>
      </c>
      <c r="Q168" s="109" t="s">
        <v>44</v>
      </c>
      <c r="R168" s="119"/>
      <c r="S168" s="119"/>
      <c r="T168" s="99"/>
      <c r="U168" s="100"/>
    </row>
    <row r="169" spans="1:21" s="64" customFormat="1" ht="28" customHeight="1" x14ac:dyDescent="0.25">
      <c r="A169" s="73">
        <v>158</v>
      </c>
      <c r="B169" s="73" t="s">
        <v>143</v>
      </c>
      <c r="C169" s="79" t="s">
        <v>43</v>
      </c>
      <c r="D169" s="73"/>
      <c r="E169" s="73" t="s">
        <v>103</v>
      </c>
      <c r="F169" s="73" t="s">
        <v>46</v>
      </c>
      <c r="G169" s="92">
        <v>50</v>
      </c>
      <c r="H169" s="93">
        <v>34.772000000000006</v>
      </c>
      <c r="I169" s="93">
        <f t="shared" si="14"/>
        <v>2</v>
      </c>
      <c r="J169" s="93">
        <v>19.478999999999999</v>
      </c>
      <c r="K169" s="122">
        <v>31.751000000000001</v>
      </c>
      <c r="L169" s="93">
        <v>440.93</v>
      </c>
      <c r="M169" s="94">
        <v>46222</v>
      </c>
      <c r="N169" s="95">
        <f t="shared" si="13"/>
        <v>15.227999999999994</v>
      </c>
      <c r="O169" s="93">
        <f t="shared" si="15"/>
        <v>440.93</v>
      </c>
      <c r="P169" s="96">
        <f t="shared" si="16"/>
        <v>6714.4820399999981</v>
      </c>
      <c r="Q169" s="109" t="s">
        <v>44</v>
      </c>
      <c r="R169" s="119"/>
      <c r="S169" s="119"/>
      <c r="T169" s="99"/>
      <c r="U169" s="100"/>
    </row>
    <row r="170" spans="1:21" s="64" customFormat="1" ht="28" customHeight="1" x14ac:dyDescent="0.25">
      <c r="A170" s="73">
        <v>159</v>
      </c>
      <c r="B170" s="73" t="s">
        <v>268</v>
      </c>
      <c r="C170" s="79" t="s">
        <v>37</v>
      </c>
      <c r="D170" s="73" t="s">
        <v>269</v>
      </c>
      <c r="E170" s="73" t="s">
        <v>103</v>
      </c>
      <c r="F170" s="73" t="s">
        <v>274</v>
      </c>
      <c r="G170" s="92">
        <v>50</v>
      </c>
      <c r="H170" s="93">
        <v>39</v>
      </c>
      <c r="I170" s="93">
        <f t="shared" si="14"/>
        <v>1</v>
      </c>
      <c r="J170" s="93">
        <v>12</v>
      </c>
      <c r="K170" s="122">
        <v>8</v>
      </c>
      <c r="L170" s="93">
        <v>1050</v>
      </c>
      <c r="M170" s="94">
        <v>46153</v>
      </c>
      <c r="N170" s="95">
        <f t="shared" si="13"/>
        <v>11</v>
      </c>
      <c r="O170" s="93">
        <f t="shared" si="15"/>
        <v>1050</v>
      </c>
      <c r="P170" s="96">
        <f t="shared" si="16"/>
        <v>11550</v>
      </c>
      <c r="Q170" s="109" t="s">
        <v>44</v>
      </c>
      <c r="R170" s="119"/>
      <c r="S170" s="119"/>
      <c r="T170" s="99"/>
      <c r="U170" s="100"/>
    </row>
    <row r="171" spans="1:21" s="64" customFormat="1" ht="28" customHeight="1" x14ac:dyDescent="0.25">
      <c r="A171" s="73">
        <v>160</v>
      </c>
      <c r="B171" s="79" t="s">
        <v>270</v>
      </c>
      <c r="C171" s="79" t="s">
        <v>37</v>
      </c>
      <c r="D171" s="73" t="s">
        <v>271</v>
      </c>
      <c r="E171" s="73" t="s">
        <v>103</v>
      </c>
      <c r="F171" s="73" t="s">
        <v>274</v>
      </c>
      <c r="G171" s="92">
        <v>150</v>
      </c>
      <c r="H171" s="93">
        <v>125</v>
      </c>
      <c r="I171" s="93">
        <f t="shared" si="14"/>
        <v>11</v>
      </c>
      <c r="J171" s="93">
        <v>95</v>
      </c>
      <c r="K171" s="122">
        <v>73</v>
      </c>
      <c r="L171" s="93">
        <v>1280</v>
      </c>
      <c r="M171" s="94">
        <v>46191</v>
      </c>
      <c r="N171" s="95">
        <f t="shared" ref="N171:N176" si="17">G171-H171</f>
        <v>25</v>
      </c>
      <c r="O171" s="93">
        <f t="shared" si="15"/>
        <v>1280</v>
      </c>
      <c r="P171" s="96">
        <f t="shared" si="16"/>
        <v>32000</v>
      </c>
      <c r="Q171" s="109" t="s">
        <v>44</v>
      </c>
      <c r="R171" s="119"/>
      <c r="S171" s="119"/>
      <c r="T171" s="99"/>
      <c r="U171" s="100"/>
    </row>
    <row r="172" spans="1:21" s="64" customFormat="1" ht="28" customHeight="1" x14ac:dyDescent="0.25">
      <c r="A172" s="73">
        <v>161</v>
      </c>
      <c r="B172" s="73" t="s">
        <v>273</v>
      </c>
      <c r="C172" s="85" t="s">
        <v>37</v>
      </c>
      <c r="D172" s="73" t="s">
        <v>272</v>
      </c>
      <c r="E172" s="73" t="s">
        <v>103</v>
      </c>
      <c r="F172" s="73" t="s">
        <v>274</v>
      </c>
      <c r="G172" s="92">
        <v>160</v>
      </c>
      <c r="H172" s="93">
        <v>94</v>
      </c>
      <c r="I172" s="93">
        <f t="shared" si="14"/>
        <v>1</v>
      </c>
      <c r="J172" s="93">
        <v>7</v>
      </c>
      <c r="K172" s="122">
        <v>13</v>
      </c>
      <c r="L172" s="93">
        <v>3400</v>
      </c>
      <c r="M172" s="94">
        <v>46191</v>
      </c>
      <c r="N172" s="95">
        <f t="shared" si="17"/>
        <v>66</v>
      </c>
      <c r="O172" s="93">
        <f t="shared" si="15"/>
        <v>3400</v>
      </c>
      <c r="P172" s="96">
        <f t="shared" si="16"/>
        <v>224400</v>
      </c>
      <c r="Q172" s="109" t="s">
        <v>44</v>
      </c>
      <c r="R172" s="119"/>
      <c r="S172" s="119"/>
      <c r="T172" s="99"/>
      <c r="U172" s="100"/>
    </row>
    <row r="173" spans="1:21" s="64" customFormat="1" ht="28" customHeight="1" x14ac:dyDescent="0.25">
      <c r="A173" s="73">
        <v>162</v>
      </c>
      <c r="B173" s="79" t="s">
        <v>275</v>
      </c>
      <c r="C173" s="79" t="s">
        <v>37</v>
      </c>
      <c r="D173" s="73"/>
      <c r="E173" s="73" t="s">
        <v>103</v>
      </c>
      <c r="F173" s="73" t="s">
        <v>27</v>
      </c>
      <c r="G173" s="92">
        <v>1000</v>
      </c>
      <c r="H173" s="93">
        <v>0</v>
      </c>
      <c r="I173" s="93">
        <f t="shared" si="14"/>
        <v>115</v>
      </c>
      <c r="J173" s="93">
        <v>1000</v>
      </c>
      <c r="K173" s="122">
        <v>1000</v>
      </c>
      <c r="L173" s="93">
        <v>2.62</v>
      </c>
      <c r="M173" s="94">
        <v>46083</v>
      </c>
      <c r="N173" s="95">
        <f t="shared" si="17"/>
        <v>1000</v>
      </c>
      <c r="O173" s="93">
        <f t="shared" si="15"/>
        <v>2.62</v>
      </c>
      <c r="P173" s="96">
        <f t="shared" si="16"/>
        <v>2620</v>
      </c>
      <c r="Q173" s="109" t="s">
        <v>354</v>
      </c>
      <c r="R173" s="119"/>
      <c r="S173" s="119"/>
      <c r="T173" s="99"/>
      <c r="U173" s="100"/>
    </row>
    <row r="174" spans="1:21" s="64" customFormat="1" ht="28" customHeight="1" x14ac:dyDescent="0.25">
      <c r="A174" s="73">
        <v>163</v>
      </c>
      <c r="B174" s="79" t="s">
        <v>276</v>
      </c>
      <c r="C174" s="79" t="s">
        <v>208</v>
      </c>
      <c r="D174" s="73"/>
      <c r="E174" s="73" t="s">
        <v>103</v>
      </c>
      <c r="F174" s="73" t="s">
        <v>27</v>
      </c>
      <c r="G174" s="92">
        <v>20</v>
      </c>
      <c r="H174" s="93">
        <v>0</v>
      </c>
      <c r="I174" s="93">
        <f t="shared" si="14"/>
        <v>0</v>
      </c>
      <c r="J174" s="93">
        <v>0</v>
      </c>
      <c r="K174" s="122">
        <v>20</v>
      </c>
      <c r="L174" s="93">
        <v>165</v>
      </c>
      <c r="M174" s="94">
        <v>46191</v>
      </c>
      <c r="N174" s="95">
        <f t="shared" si="17"/>
        <v>20</v>
      </c>
      <c r="O174" s="93">
        <f t="shared" si="15"/>
        <v>165</v>
      </c>
      <c r="P174" s="96">
        <f t="shared" si="16"/>
        <v>3300</v>
      </c>
      <c r="Q174" s="109" t="s">
        <v>352</v>
      </c>
      <c r="R174" s="119"/>
      <c r="S174" s="119"/>
      <c r="T174" s="99"/>
      <c r="U174" s="100"/>
    </row>
    <row r="175" spans="1:21" s="64" customFormat="1" ht="28" customHeight="1" x14ac:dyDescent="0.25">
      <c r="A175" s="73">
        <v>164</v>
      </c>
      <c r="B175" s="79" t="s">
        <v>277</v>
      </c>
      <c r="C175" s="79" t="s">
        <v>278</v>
      </c>
      <c r="D175" s="73"/>
      <c r="E175" s="73" t="s">
        <v>103</v>
      </c>
      <c r="F175" s="73" t="s">
        <v>27</v>
      </c>
      <c r="G175" s="92">
        <v>200</v>
      </c>
      <c r="H175" s="93">
        <v>0</v>
      </c>
      <c r="I175" s="93">
        <f t="shared" si="14"/>
        <v>4</v>
      </c>
      <c r="J175" s="93">
        <v>36</v>
      </c>
      <c r="K175" s="122">
        <v>550</v>
      </c>
      <c r="L175" s="93">
        <v>4.5</v>
      </c>
      <c r="M175" s="94">
        <v>45706</v>
      </c>
      <c r="N175" s="95">
        <f t="shared" si="17"/>
        <v>200</v>
      </c>
      <c r="O175" s="93">
        <f t="shared" ref="O175" si="18">L175</f>
        <v>4.5</v>
      </c>
      <c r="P175" s="96">
        <f t="shared" ref="P175" si="19">N175*O175</f>
        <v>900</v>
      </c>
      <c r="Q175" s="109" t="s">
        <v>352</v>
      </c>
      <c r="R175" s="119"/>
      <c r="S175" s="119"/>
      <c r="T175" s="99"/>
      <c r="U175" s="100"/>
    </row>
    <row r="176" spans="1:21" s="64" customFormat="1" ht="28" customHeight="1" thickBot="1" x14ac:dyDescent="0.3">
      <c r="A176" s="73">
        <v>165</v>
      </c>
      <c r="B176" s="79" t="s">
        <v>334</v>
      </c>
      <c r="C176" s="79" t="s">
        <v>68</v>
      </c>
      <c r="D176" s="73"/>
      <c r="E176" s="73" t="s">
        <v>103</v>
      </c>
      <c r="F176" s="73" t="s">
        <v>49</v>
      </c>
      <c r="G176" s="92">
        <v>2</v>
      </c>
      <c r="H176" s="93">
        <v>0</v>
      </c>
      <c r="I176" s="93">
        <v>0</v>
      </c>
      <c r="J176" s="93">
        <v>0</v>
      </c>
      <c r="K176" s="122">
        <v>0</v>
      </c>
      <c r="L176" s="93">
        <v>0</v>
      </c>
      <c r="M176" s="94">
        <v>0</v>
      </c>
      <c r="N176" s="95">
        <f t="shared" si="17"/>
        <v>2</v>
      </c>
      <c r="O176" s="93">
        <f t="shared" si="15"/>
        <v>0</v>
      </c>
      <c r="P176" s="96">
        <f t="shared" si="16"/>
        <v>0</v>
      </c>
      <c r="Q176" s="109" t="s">
        <v>352</v>
      </c>
      <c r="R176" s="119"/>
      <c r="S176" s="119"/>
      <c r="T176" s="99"/>
      <c r="U176" s="100"/>
    </row>
    <row r="177" spans="1:21" s="35" customFormat="1" ht="23.25" customHeight="1" thickBot="1" x14ac:dyDescent="0.4">
      <c r="A177" s="162" t="s">
        <v>35</v>
      </c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4"/>
      <c r="P177" s="27">
        <f>SUM(P12:P176)</f>
        <v>947375.34316000005</v>
      </c>
      <c r="Q177" s="33"/>
      <c r="R177" s="33"/>
      <c r="S177" s="33"/>
      <c r="T177" s="129"/>
      <c r="U177" s="130"/>
    </row>
    <row r="178" spans="1:21" s="2" customFormat="1" ht="22.5" customHeigh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6"/>
      <c r="L178" s="5"/>
      <c r="M178" s="6"/>
      <c r="N178" s="7"/>
      <c r="O178" s="8"/>
      <c r="P178" s="9"/>
      <c r="Q178" s="9"/>
      <c r="R178" s="9"/>
      <c r="S178" s="9"/>
      <c r="T178" s="10"/>
    </row>
    <row r="179" spans="1:21" s="2" customFormat="1" ht="19.5" customHeigh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6"/>
      <c r="L179" s="5"/>
      <c r="M179" s="6"/>
      <c r="N179" s="7"/>
      <c r="O179" s="11"/>
      <c r="P179" s="9"/>
      <c r="Q179" s="9"/>
      <c r="R179" s="9"/>
      <c r="S179" s="9"/>
      <c r="T179" s="10"/>
    </row>
    <row r="180" spans="1:21" s="2" customFormat="1" ht="19.5" customHeigh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6"/>
      <c r="L180" s="5"/>
      <c r="M180" s="6"/>
      <c r="N180" s="7"/>
      <c r="O180" s="11"/>
      <c r="P180" s="9"/>
      <c r="Q180" s="9"/>
      <c r="R180" s="9"/>
      <c r="S180" s="9"/>
      <c r="T180" s="10"/>
    </row>
    <row r="181" spans="1:21" s="2" customFormat="1" ht="20.149999999999999" customHeight="1" x14ac:dyDescent="0.25">
      <c r="A181" s="5"/>
      <c r="B181" s="5"/>
      <c r="C181" s="5"/>
      <c r="D181" s="5"/>
      <c r="E181" s="5"/>
      <c r="F181" s="5"/>
      <c r="G181" s="5"/>
      <c r="H181" s="12"/>
      <c r="I181" s="12"/>
      <c r="J181" s="12"/>
      <c r="K181" s="123"/>
      <c r="L181" s="13"/>
      <c r="M181" s="13"/>
      <c r="N181" s="14"/>
      <c r="O181" s="14"/>
      <c r="P181" s="9"/>
      <c r="Q181" s="9"/>
      <c r="R181" s="9"/>
      <c r="S181" s="9"/>
      <c r="T181" s="13"/>
    </row>
    <row r="182" spans="1:21" s="2" customFormat="1" ht="20.149999999999999" customHeight="1" x14ac:dyDescent="0.25">
      <c r="A182" s="12"/>
      <c r="B182" s="87"/>
      <c r="C182" s="5"/>
      <c r="D182" s="5"/>
      <c r="E182" s="12"/>
      <c r="F182" s="12"/>
      <c r="G182" s="5"/>
      <c r="H182" s="12"/>
      <c r="I182" s="12"/>
      <c r="J182" s="12"/>
      <c r="K182" s="123"/>
      <c r="L182" s="13"/>
      <c r="M182" s="13"/>
      <c r="N182" s="14"/>
      <c r="O182" s="14"/>
      <c r="P182" s="9"/>
      <c r="Q182" s="9"/>
      <c r="R182" s="9"/>
      <c r="S182" s="9"/>
      <c r="T182" s="13"/>
    </row>
    <row r="183" spans="1:21" s="15" customFormat="1" ht="17.5" customHeight="1" x14ac:dyDescent="0.35">
      <c r="B183" s="88" t="s">
        <v>26</v>
      </c>
      <c r="C183" s="5"/>
      <c r="D183" s="5"/>
      <c r="E183" s="22"/>
      <c r="F183"/>
      <c r="G183" s="161" t="s">
        <v>27</v>
      </c>
      <c r="H183" s="161"/>
      <c r="I183" s="161"/>
      <c r="J183"/>
      <c r="K183" s="124"/>
      <c r="L183" s="21"/>
      <c r="M183" s="23"/>
      <c r="N183" s="24"/>
      <c r="O183" s="161" t="s">
        <v>28</v>
      </c>
      <c r="P183" s="161"/>
      <c r="Q183" s="25"/>
      <c r="R183" s="24"/>
      <c r="S183" s="161" t="s">
        <v>29</v>
      </c>
      <c r="T183" s="161"/>
    </row>
    <row r="184" spans="1:21" ht="20.149999999999999" customHeight="1" x14ac:dyDescent="0.3">
      <c r="A184" s="12"/>
      <c r="B184" s="87"/>
      <c r="C184" s="5"/>
      <c r="D184" s="30"/>
      <c r="E184" s="12"/>
      <c r="F184" s="12"/>
      <c r="G184" s="5"/>
      <c r="H184" s="12"/>
      <c r="I184" s="12"/>
      <c r="J184" s="12"/>
      <c r="K184" s="123"/>
      <c r="L184" s="13"/>
      <c r="M184" s="13"/>
      <c r="N184" s="17"/>
      <c r="O184" s="13"/>
      <c r="P184" s="13"/>
      <c r="Q184" s="5"/>
      <c r="R184" s="5"/>
      <c r="S184" s="5"/>
      <c r="T184" s="13"/>
    </row>
    <row r="190" spans="1:21" x14ac:dyDescent="0.3">
      <c r="L190" s="18"/>
    </row>
    <row r="191" spans="1:21" s="20" customFormat="1" ht="15" x14ac:dyDescent="0.3">
      <c r="A191" s="1"/>
      <c r="B191" s="89"/>
      <c r="C191" s="13"/>
      <c r="D191" s="32"/>
      <c r="E191" s="1"/>
      <c r="F191" s="1"/>
      <c r="G191" s="23"/>
      <c r="H191" s="1"/>
      <c r="I191" s="1"/>
      <c r="J191" s="1"/>
      <c r="K191" s="125"/>
      <c r="L191" s="1"/>
      <c r="M191" s="1"/>
      <c r="N191" s="19"/>
      <c r="O191" s="1"/>
      <c r="P191" s="1"/>
      <c r="Q191" s="1"/>
      <c r="R191" s="1"/>
      <c r="S191" s="1"/>
      <c r="T191" s="1"/>
    </row>
  </sheetData>
  <autoFilter ref="A11:U177" xr:uid="{796A1C94-BAD2-4449-AE47-EFD20D8E3DAB}"/>
  <mergeCells count="36">
    <mergeCell ref="U9:U10"/>
    <mergeCell ref="N9:P9"/>
    <mergeCell ref="Q9:R9"/>
    <mergeCell ref="S9:T9"/>
    <mergeCell ref="G9:J9"/>
    <mergeCell ref="K9:M9"/>
    <mergeCell ref="G183:I183"/>
    <mergeCell ref="O183:P183"/>
    <mergeCell ref="S183:T183"/>
    <mergeCell ref="A177:O177"/>
    <mergeCell ref="A9:A10"/>
    <mergeCell ref="B9:B10"/>
    <mergeCell ref="C9:C10"/>
    <mergeCell ref="D9:D10"/>
    <mergeCell ref="E9:E10"/>
    <mergeCell ref="F9:F10"/>
    <mergeCell ref="N7:U7"/>
    <mergeCell ref="N8:U8"/>
    <mergeCell ref="A5:D5"/>
    <mergeCell ref="E5:M5"/>
    <mergeCell ref="A6:D6"/>
    <mergeCell ref="E6:M6"/>
    <mergeCell ref="N5:U5"/>
    <mergeCell ref="N6:U6"/>
    <mergeCell ref="A7:D7"/>
    <mergeCell ref="E7:M7"/>
    <mergeCell ref="A8:D8"/>
    <mergeCell ref="E8:M8"/>
    <mergeCell ref="A4:D4"/>
    <mergeCell ref="E4:M4"/>
    <mergeCell ref="A1:U1"/>
    <mergeCell ref="A2:U2"/>
    <mergeCell ref="A3:D3"/>
    <mergeCell ref="E3:M3"/>
    <mergeCell ref="N3:U3"/>
    <mergeCell ref="N4:U4"/>
  </mergeCells>
  <conditionalFormatting sqref="B12">
    <cfRule type="duplicateValues" dxfId="590" priority="2062"/>
  </conditionalFormatting>
  <conditionalFormatting sqref="B12:B13">
    <cfRule type="duplicateValues" dxfId="589" priority="177779"/>
  </conditionalFormatting>
  <conditionalFormatting sqref="B12:B20">
    <cfRule type="duplicateValues" dxfId="588" priority="181303"/>
    <cfRule type="duplicateValues" dxfId="587" priority="181304"/>
    <cfRule type="duplicateValues" dxfId="586" priority="181305"/>
    <cfRule type="duplicateValues" dxfId="585" priority="181306"/>
    <cfRule type="duplicateValues" dxfId="584" priority="181307"/>
    <cfRule type="duplicateValues" dxfId="583" priority="181308"/>
    <cfRule type="duplicateValues" dxfId="582" priority="181309"/>
    <cfRule type="duplicateValues" dxfId="581" priority="181310"/>
    <cfRule type="duplicateValues" dxfId="580" priority="181311"/>
    <cfRule type="duplicateValues" dxfId="579" priority="181312"/>
    <cfRule type="duplicateValues" dxfId="578" priority="181313"/>
  </conditionalFormatting>
  <conditionalFormatting sqref="B13">
    <cfRule type="duplicateValues" dxfId="577" priority="2061"/>
  </conditionalFormatting>
  <conditionalFormatting sqref="B14">
    <cfRule type="duplicateValues" dxfId="576" priority="142627"/>
  </conditionalFormatting>
  <conditionalFormatting sqref="B15">
    <cfRule type="duplicateValues" dxfId="575" priority="180974"/>
  </conditionalFormatting>
  <conditionalFormatting sqref="B16">
    <cfRule type="duplicateValues" dxfId="574" priority="181113"/>
  </conditionalFormatting>
  <conditionalFormatting sqref="B17">
    <cfRule type="duplicateValues" dxfId="573" priority="181027"/>
  </conditionalFormatting>
  <conditionalFormatting sqref="B18">
    <cfRule type="duplicateValues" dxfId="572" priority="2011"/>
    <cfRule type="duplicateValues" dxfId="571" priority="177770"/>
    <cfRule type="duplicateValues" dxfId="570" priority="177771"/>
  </conditionalFormatting>
  <conditionalFormatting sqref="B19">
    <cfRule type="duplicateValues" dxfId="569" priority="181028"/>
  </conditionalFormatting>
  <conditionalFormatting sqref="B20">
    <cfRule type="duplicateValues" dxfId="568" priority="180953"/>
  </conditionalFormatting>
  <conditionalFormatting sqref="B21">
    <cfRule type="duplicateValues" dxfId="567" priority="1848"/>
    <cfRule type="duplicateValues" dxfId="566" priority="1849"/>
    <cfRule type="duplicateValues" dxfId="565" priority="1850"/>
    <cfRule type="duplicateValues" dxfId="564" priority="1851"/>
    <cfRule type="duplicateValues" dxfId="563" priority="1852"/>
    <cfRule type="duplicateValues" dxfId="562" priority="1853"/>
  </conditionalFormatting>
  <conditionalFormatting sqref="B22">
    <cfRule type="duplicateValues" dxfId="561" priority="1812"/>
    <cfRule type="duplicateValues" dxfId="560" priority="1813"/>
    <cfRule type="duplicateValues" dxfId="559" priority="1814"/>
    <cfRule type="duplicateValues" dxfId="558" priority="1815"/>
    <cfRule type="duplicateValues" dxfId="557" priority="1816"/>
    <cfRule type="duplicateValues" dxfId="556" priority="1817"/>
  </conditionalFormatting>
  <conditionalFormatting sqref="B23">
    <cfRule type="duplicateValues" dxfId="555" priority="1806"/>
    <cfRule type="duplicateValues" dxfId="554" priority="1807"/>
    <cfRule type="duplicateValues" dxfId="553" priority="1808"/>
    <cfRule type="duplicateValues" dxfId="552" priority="1809"/>
    <cfRule type="duplicateValues" dxfId="551" priority="1810"/>
    <cfRule type="duplicateValues" dxfId="550" priority="1811"/>
  </conditionalFormatting>
  <conditionalFormatting sqref="B24">
    <cfRule type="duplicateValues" dxfId="549" priority="1800"/>
    <cfRule type="duplicateValues" dxfId="548" priority="1801"/>
    <cfRule type="duplicateValues" dxfId="547" priority="1802"/>
    <cfRule type="duplicateValues" dxfId="546" priority="1803"/>
    <cfRule type="duplicateValues" dxfId="545" priority="1804"/>
    <cfRule type="duplicateValues" dxfId="544" priority="1805"/>
  </conditionalFormatting>
  <conditionalFormatting sqref="B26">
    <cfRule type="duplicateValues" dxfId="543" priority="1709"/>
    <cfRule type="duplicateValues" dxfId="542" priority="1710"/>
    <cfRule type="duplicateValues" dxfId="541" priority="1711"/>
    <cfRule type="duplicateValues" dxfId="540" priority="1712"/>
    <cfRule type="duplicateValues" dxfId="539" priority="1713"/>
    <cfRule type="duplicateValues" dxfId="538" priority="1714"/>
  </conditionalFormatting>
  <conditionalFormatting sqref="B27">
    <cfRule type="duplicateValues" dxfId="537" priority="1715"/>
    <cfRule type="duplicateValues" dxfId="536" priority="1716"/>
    <cfRule type="duplicateValues" dxfId="535" priority="1717"/>
    <cfRule type="duplicateValues" dxfId="534" priority="1718"/>
    <cfRule type="duplicateValues" dxfId="533" priority="1719"/>
    <cfRule type="duplicateValues" dxfId="532" priority="1720"/>
  </conditionalFormatting>
  <conditionalFormatting sqref="B28">
    <cfRule type="duplicateValues" dxfId="531" priority="1697"/>
    <cfRule type="duplicateValues" dxfId="530" priority="1698"/>
    <cfRule type="duplicateValues" dxfId="529" priority="1699"/>
    <cfRule type="duplicateValues" dxfId="528" priority="1700"/>
    <cfRule type="duplicateValues" dxfId="527" priority="1701"/>
    <cfRule type="duplicateValues" dxfId="526" priority="1702"/>
  </conditionalFormatting>
  <conditionalFormatting sqref="B29">
    <cfRule type="duplicateValues" dxfId="525" priority="1691"/>
    <cfRule type="duplicateValues" dxfId="524" priority="1692"/>
    <cfRule type="duplicateValues" dxfId="523" priority="1693"/>
    <cfRule type="duplicateValues" dxfId="522" priority="1694"/>
    <cfRule type="duplicateValues" dxfId="521" priority="1695"/>
    <cfRule type="duplicateValues" dxfId="520" priority="1696"/>
  </conditionalFormatting>
  <conditionalFormatting sqref="B30">
    <cfRule type="duplicateValues" dxfId="519" priority="1685"/>
    <cfRule type="duplicateValues" dxfId="518" priority="1686"/>
    <cfRule type="duplicateValues" dxfId="517" priority="1687"/>
    <cfRule type="duplicateValues" dxfId="516" priority="1688"/>
    <cfRule type="duplicateValues" dxfId="515" priority="1689"/>
    <cfRule type="duplicateValues" dxfId="514" priority="1690"/>
  </conditionalFormatting>
  <conditionalFormatting sqref="B31">
    <cfRule type="duplicateValues" dxfId="513" priority="1679"/>
    <cfRule type="duplicateValues" dxfId="512" priority="1680"/>
    <cfRule type="duplicateValues" dxfId="511" priority="1681"/>
    <cfRule type="duplicateValues" dxfId="510" priority="1682"/>
    <cfRule type="duplicateValues" dxfId="509" priority="1683"/>
    <cfRule type="duplicateValues" dxfId="508" priority="1684"/>
  </conditionalFormatting>
  <conditionalFormatting sqref="B32">
    <cfRule type="duplicateValues" dxfId="507" priority="1673"/>
    <cfRule type="duplicateValues" dxfId="506" priority="1674"/>
    <cfRule type="duplicateValues" dxfId="505" priority="1675"/>
    <cfRule type="duplicateValues" dxfId="504" priority="1676"/>
    <cfRule type="duplicateValues" dxfId="503" priority="1677"/>
    <cfRule type="duplicateValues" dxfId="502" priority="1678"/>
  </conditionalFormatting>
  <conditionalFormatting sqref="B33">
    <cfRule type="duplicateValues" dxfId="501" priority="1637"/>
    <cfRule type="duplicateValues" dxfId="500" priority="1638"/>
    <cfRule type="duplicateValues" dxfId="499" priority="1639"/>
    <cfRule type="duplicateValues" dxfId="498" priority="1640"/>
    <cfRule type="duplicateValues" dxfId="497" priority="1641"/>
    <cfRule type="duplicateValues" dxfId="496" priority="1642"/>
  </conditionalFormatting>
  <conditionalFormatting sqref="B34">
    <cfRule type="duplicateValues" dxfId="495" priority="1601"/>
    <cfRule type="duplicateValues" dxfId="494" priority="1602"/>
    <cfRule type="duplicateValues" dxfId="493" priority="1603"/>
    <cfRule type="duplicateValues" dxfId="492" priority="1604"/>
    <cfRule type="duplicateValues" dxfId="491" priority="1605"/>
    <cfRule type="duplicateValues" dxfId="490" priority="1606"/>
  </conditionalFormatting>
  <conditionalFormatting sqref="B35">
    <cfRule type="duplicateValues" dxfId="489" priority="1583"/>
    <cfRule type="duplicateValues" dxfId="488" priority="1584"/>
    <cfRule type="duplicateValues" dxfId="487" priority="1585"/>
    <cfRule type="duplicateValues" dxfId="486" priority="1586"/>
    <cfRule type="duplicateValues" dxfId="485" priority="1587"/>
    <cfRule type="duplicateValues" dxfId="484" priority="1588"/>
  </conditionalFormatting>
  <conditionalFormatting sqref="B36">
    <cfRule type="duplicateValues" dxfId="483" priority="1577"/>
    <cfRule type="duplicateValues" dxfId="482" priority="1578"/>
    <cfRule type="duplicateValues" dxfId="481" priority="1579"/>
    <cfRule type="duplicateValues" dxfId="480" priority="1580"/>
    <cfRule type="duplicateValues" dxfId="479" priority="1581"/>
    <cfRule type="duplicateValues" dxfId="478" priority="1582"/>
  </conditionalFormatting>
  <conditionalFormatting sqref="B38">
    <cfRule type="duplicateValues" dxfId="477" priority="1565"/>
    <cfRule type="duplicateValues" dxfId="476" priority="1566"/>
    <cfRule type="duplicateValues" dxfId="475" priority="1567"/>
    <cfRule type="duplicateValues" dxfId="474" priority="1568"/>
    <cfRule type="duplicateValues" dxfId="473" priority="1569"/>
    <cfRule type="duplicateValues" dxfId="472" priority="1570"/>
  </conditionalFormatting>
  <conditionalFormatting sqref="B39">
    <cfRule type="duplicateValues" dxfId="471" priority="1553"/>
    <cfRule type="duplicateValues" dxfId="470" priority="1554"/>
    <cfRule type="duplicateValues" dxfId="469" priority="1555"/>
    <cfRule type="duplicateValues" dxfId="468" priority="1556"/>
    <cfRule type="duplicateValues" dxfId="467" priority="1557"/>
    <cfRule type="duplicateValues" dxfId="466" priority="1558"/>
  </conditionalFormatting>
  <conditionalFormatting sqref="B42">
    <cfRule type="duplicateValues" dxfId="465" priority="1524"/>
    <cfRule type="duplicateValues" dxfId="464" priority="1525"/>
    <cfRule type="duplicateValues" dxfId="463" priority="1526"/>
    <cfRule type="duplicateValues" dxfId="462" priority="1527"/>
    <cfRule type="duplicateValues" dxfId="461" priority="1528"/>
    <cfRule type="duplicateValues" dxfId="460" priority="1529"/>
  </conditionalFormatting>
  <conditionalFormatting sqref="B43">
    <cfRule type="duplicateValues" dxfId="459" priority="181150"/>
    <cfRule type="duplicateValues" dxfId="458" priority="181151"/>
    <cfRule type="duplicateValues" dxfId="457" priority="181152"/>
    <cfRule type="duplicateValues" dxfId="456" priority="181153"/>
    <cfRule type="duplicateValues" dxfId="455" priority="181154"/>
    <cfRule type="duplicateValues" dxfId="454" priority="181155"/>
  </conditionalFormatting>
  <conditionalFormatting sqref="B44">
    <cfRule type="duplicateValues" dxfId="453" priority="1487"/>
    <cfRule type="duplicateValues" dxfId="452" priority="1488"/>
    <cfRule type="duplicateValues" dxfId="451" priority="1489"/>
  </conditionalFormatting>
  <conditionalFormatting sqref="B47">
    <cfRule type="duplicateValues" dxfId="450" priority="1395"/>
    <cfRule type="duplicateValues" dxfId="449" priority="1396"/>
    <cfRule type="duplicateValues" dxfId="448" priority="1397"/>
  </conditionalFormatting>
  <conditionalFormatting sqref="B48">
    <cfRule type="duplicateValues" dxfId="447" priority="1377"/>
    <cfRule type="duplicateValues" dxfId="446" priority="1378"/>
    <cfRule type="duplicateValues" dxfId="445" priority="1379"/>
    <cfRule type="duplicateValues" dxfId="444" priority="1380"/>
    <cfRule type="duplicateValues" dxfId="443" priority="1381"/>
    <cfRule type="duplicateValues" dxfId="442" priority="1382"/>
  </conditionalFormatting>
  <conditionalFormatting sqref="B49">
    <cfRule type="duplicateValues" dxfId="441" priority="1367"/>
    <cfRule type="duplicateValues" dxfId="440" priority="1368"/>
    <cfRule type="duplicateValues" dxfId="439" priority="1369"/>
    <cfRule type="duplicateValues" dxfId="438" priority="1370"/>
  </conditionalFormatting>
  <conditionalFormatting sqref="B50">
    <cfRule type="duplicateValues" dxfId="437" priority="1363"/>
    <cfRule type="duplicateValues" dxfId="436" priority="1364"/>
    <cfRule type="duplicateValues" dxfId="435" priority="1365"/>
    <cfRule type="duplicateValues" dxfId="434" priority="1366"/>
  </conditionalFormatting>
  <conditionalFormatting sqref="B51">
    <cfRule type="duplicateValues" dxfId="433" priority="1355"/>
    <cfRule type="duplicateValues" dxfId="432" priority="1356"/>
    <cfRule type="duplicateValues" dxfId="431" priority="1357"/>
    <cfRule type="duplicateValues" dxfId="430" priority="1358"/>
  </conditionalFormatting>
  <conditionalFormatting sqref="B52">
    <cfRule type="duplicateValues" dxfId="429" priority="8"/>
    <cfRule type="duplicateValues" dxfId="428" priority="9"/>
    <cfRule type="duplicateValues" dxfId="427" priority="10"/>
    <cfRule type="duplicateValues" dxfId="426" priority="11"/>
    <cfRule type="duplicateValues" dxfId="425" priority="12"/>
    <cfRule type="duplicateValues" dxfId="424" priority="13"/>
    <cfRule type="duplicateValues" dxfId="423" priority="14"/>
  </conditionalFormatting>
  <conditionalFormatting sqref="B53">
    <cfRule type="duplicateValues" dxfId="422" priority="177783"/>
    <cfRule type="duplicateValues" dxfId="421" priority="177784"/>
    <cfRule type="duplicateValues" dxfId="420" priority="177785"/>
    <cfRule type="duplicateValues" dxfId="419" priority="177786"/>
    <cfRule type="duplicateValues" dxfId="418" priority="177787"/>
    <cfRule type="duplicateValues" dxfId="417" priority="177788"/>
  </conditionalFormatting>
  <conditionalFormatting sqref="B169:B176 B53:B167 B12:B51">
    <cfRule type="duplicateValues" dxfId="416" priority="181202"/>
  </conditionalFormatting>
  <conditionalFormatting sqref="B56">
    <cfRule type="duplicateValues" dxfId="415" priority="1270"/>
    <cfRule type="duplicateValues" dxfId="414" priority="1271"/>
    <cfRule type="duplicateValues" dxfId="413" priority="1272"/>
    <cfRule type="duplicateValues" dxfId="412" priority="1273"/>
    <cfRule type="duplicateValues" dxfId="411" priority="1274"/>
    <cfRule type="duplicateValues" dxfId="410" priority="1275"/>
  </conditionalFormatting>
  <conditionalFormatting sqref="B57">
    <cfRule type="duplicateValues" dxfId="409" priority="1201"/>
    <cfRule type="duplicateValues" dxfId="408" priority="1202"/>
  </conditionalFormatting>
  <conditionalFormatting sqref="B58">
    <cfRule type="duplicateValues" dxfId="407" priority="1199"/>
    <cfRule type="duplicateValues" dxfId="406" priority="1200"/>
  </conditionalFormatting>
  <conditionalFormatting sqref="B60">
    <cfRule type="duplicateValues" dxfId="405" priority="1189"/>
    <cfRule type="duplicateValues" dxfId="404" priority="1190"/>
  </conditionalFormatting>
  <conditionalFormatting sqref="B61">
    <cfRule type="duplicateValues" dxfId="403" priority="1263"/>
  </conditionalFormatting>
  <conditionalFormatting sqref="B62">
    <cfRule type="duplicateValues" dxfId="402" priority="1257"/>
    <cfRule type="duplicateValues" dxfId="401" priority="1258"/>
    <cfRule type="duplicateValues" dxfId="400" priority="1259"/>
    <cfRule type="duplicateValues" dxfId="399" priority="1260"/>
    <cfRule type="duplicateValues" dxfId="398" priority="1261"/>
    <cfRule type="duplicateValues" dxfId="397" priority="1262"/>
  </conditionalFormatting>
  <conditionalFormatting sqref="B63">
    <cfRule type="duplicateValues" dxfId="396" priority="173213"/>
    <cfRule type="duplicateValues" dxfId="395" priority="173214"/>
    <cfRule type="duplicateValues" dxfId="394" priority="173215"/>
    <cfRule type="duplicateValues" dxfId="393" priority="173216"/>
    <cfRule type="duplicateValues" dxfId="392" priority="173217"/>
    <cfRule type="duplicateValues" dxfId="391" priority="173218"/>
  </conditionalFormatting>
  <conditionalFormatting sqref="B64">
    <cfRule type="duplicateValues" dxfId="390" priority="1227"/>
    <cfRule type="duplicateValues" dxfId="389" priority="1228"/>
    <cfRule type="duplicateValues" dxfId="388" priority="1229"/>
    <cfRule type="duplicateValues" dxfId="387" priority="1230"/>
    <cfRule type="duplicateValues" dxfId="386" priority="1231"/>
    <cfRule type="duplicateValues" dxfId="385" priority="1232"/>
  </conditionalFormatting>
  <conditionalFormatting sqref="B65">
    <cfRule type="duplicateValues" dxfId="384" priority="1221"/>
    <cfRule type="duplicateValues" dxfId="383" priority="1222"/>
    <cfRule type="duplicateValues" dxfId="382" priority="1223"/>
    <cfRule type="duplicateValues" dxfId="381" priority="1224"/>
    <cfRule type="duplicateValues" dxfId="380" priority="1225"/>
    <cfRule type="duplicateValues" dxfId="379" priority="1226"/>
  </conditionalFormatting>
  <conditionalFormatting sqref="B67">
    <cfRule type="duplicateValues" dxfId="378" priority="1209"/>
    <cfRule type="duplicateValues" dxfId="377" priority="1210"/>
    <cfRule type="duplicateValues" dxfId="376" priority="1211"/>
    <cfRule type="duplicateValues" dxfId="375" priority="1212"/>
    <cfRule type="duplicateValues" dxfId="374" priority="1213"/>
    <cfRule type="duplicateValues" dxfId="373" priority="1214"/>
  </conditionalFormatting>
  <conditionalFormatting sqref="B69">
    <cfRule type="duplicateValues" dxfId="372" priority="1181"/>
    <cfRule type="duplicateValues" dxfId="371" priority="1182"/>
    <cfRule type="duplicateValues" dxfId="370" priority="1183"/>
    <cfRule type="duplicateValues" dxfId="369" priority="1184"/>
    <cfRule type="duplicateValues" dxfId="368" priority="1185"/>
    <cfRule type="duplicateValues" dxfId="367" priority="1186"/>
  </conditionalFormatting>
  <conditionalFormatting sqref="B70">
    <cfRule type="duplicateValues" dxfId="366" priority="1169"/>
    <cfRule type="duplicateValues" dxfId="365" priority="1170"/>
    <cfRule type="duplicateValues" dxfId="364" priority="1171"/>
    <cfRule type="duplicateValues" dxfId="363" priority="1172"/>
    <cfRule type="duplicateValues" dxfId="362" priority="1173"/>
    <cfRule type="duplicateValues" dxfId="361" priority="1174"/>
  </conditionalFormatting>
  <conditionalFormatting sqref="B71">
    <cfRule type="duplicateValues" dxfId="360" priority="1139"/>
    <cfRule type="duplicateValues" dxfId="359" priority="1140"/>
    <cfRule type="duplicateValues" dxfId="358" priority="1141"/>
    <cfRule type="duplicateValues" dxfId="357" priority="1142"/>
    <cfRule type="duplicateValues" dxfId="356" priority="1143"/>
    <cfRule type="duplicateValues" dxfId="355" priority="1144"/>
  </conditionalFormatting>
  <conditionalFormatting sqref="B72">
    <cfRule type="duplicateValues" dxfId="354" priority="1103"/>
    <cfRule type="duplicateValues" dxfId="353" priority="1104"/>
    <cfRule type="duplicateValues" dxfId="352" priority="1105"/>
    <cfRule type="duplicateValues" dxfId="351" priority="1106"/>
    <cfRule type="duplicateValues" dxfId="350" priority="1107"/>
    <cfRule type="duplicateValues" dxfId="349" priority="1108"/>
  </conditionalFormatting>
  <conditionalFormatting sqref="B73">
    <cfRule type="duplicateValues" dxfId="348" priority="173611"/>
    <cfRule type="duplicateValues" dxfId="347" priority="173612"/>
    <cfRule type="duplicateValues" dxfId="346" priority="173613"/>
    <cfRule type="duplicateValues" dxfId="345" priority="173614"/>
    <cfRule type="duplicateValues" dxfId="344" priority="173615"/>
    <cfRule type="duplicateValues" dxfId="343" priority="173616"/>
  </conditionalFormatting>
  <conditionalFormatting sqref="B74">
    <cfRule type="duplicateValues" dxfId="342" priority="1060"/>
    <cfRule type="duplicateValues" dxfId="341" priority="1061"/>
    <cfRule type="duplicateValues" dxfId="340" priority="1062"/>
    <cfRule type="duplicateValues" dxfId="339" priority="1063"/>
    <cfRule type="duplicateValues" dxfId="338" priority="1064"/>
    <cfRule type="duplicateValues" dxfId="337" priority="1065"/>
  </conditionalFormatting>
  <conditionalFormatting sqref="B75">
    <cfRule type="duplicateValues" dxfId="336" priority="1048"/>
    <cfRule type="duplicateValues" dxfId="335" priority="1049"/>
    <cfRule type="duplicateValues" dxfId="334" priority="1050"/>
    <cfRule type="duplicateValues" dxfId="333" priority="1051"/>
    <cfRule type="duplicateValues" dxfId="332" priority="1052"/>
    <cfRule type="duplicateValues" dxfId="331" priority="1053"/>
  </conditionalFormatting>
  <conditionalFormatting sqref="B76">
    <cfRule type="duplicateValues" dxfId="330" priority="1030"/>
    <cfRule type="duplicateValues" dxfId="329" priority="1031"/>
    <cfRule type="duplicateValues" dxfId="328" priority="1032"/>
    <cfRule type="duplicateValues" dxfId="327" priority="1033"/>
    <cfRule type="duplicateValues" dxfId="326" priority="1034"/>
    <cfRule type="duplicateValues" dxfId="325" priority="1035"/>
  </conditionalFormatting>
  <conditionalFormatting sqref="B77">
    <cfRule type="duplicateValues" dxfId="324" priority="1012"/>
    <cfRule type="duplicateValues" dxfId="323" priority="1013"/>
    <cfRule type="duplicateValues" dxfId="322" priority="1014"/>
    <cfRule type="duplicateValues" dxfId="321" priority="1015"/>
    <cfRule type="duplicateValues" dxfId="320" priority="1016"/>
    <cfRule type="duplicateValues" dxfId="319" priority="1017"/>
  </conditionalFormatting>
  <conditionalFormatting sqref="B78">
    <cfRule type="duplicateValues" dxfId="318" priority="169691"/>
    <cfRule type="duplicateValues" dxfId="317" priority="169692"/>
    <cfRule type="duplicateValues" dxfId="316" priority="169693"/>
    <cfRule type="duplicateValues" dxfId="315" priority="169694"/>
    <cfRule type="duplicateValues" dxfId="314" priority="169695"/>
    <cfRule type="duplicateValues" dxfId="313" priority="169696"/>
  </conditionalFormatting>
  <conditionalFormatting sqref="B79">
    <cfRule type="duplicateValues" dxfId="312" priority="964"/>
    <cfRule type="duplicateValues" dxfId="311" priority="965"/>
    <cfRule type="duplicateValues" dxfId="310" priority="966"/>
    <cfRule type="duplicateValues" dxfId="309" priority="967"/>
    <cfRule type="duplicateValues" dxfId="308" priority="968"/>
    <cfRule type="duplicateValues" dxfId="307" priority="969"/>
  </conditionalFormatting>
  <conditionalFormatting sqref="B81">
    <cfRule type="duplicateValues" dxfId="306" priority="946"/>
    <cfRule type="duplicateValues" dxfId="305" priority="947"/>
    <cfRule type="duplicateValues" dxfId="304" priority="948"/>
    <cfRule type="duplicateValues" dxfId="303" priority="949"/>
    <cfRule type="duplicateValues" dxfId="302" priority="950"/>
    <cfRule type="duplicateValues" dxfId="301" priority="951"/>
  </conditionalFormatting>
  <conditionalFormatting sqref="B82:B96 B98:B130">
    <cfRule type="duplicateValues" dxfId="300" priority="180226"/>
    <cfRule type="duplicateValues" dxfId="299" priority="180227"/>
    <cfRule type="duplicateValues" dxfId="298" priority="180228"/>
    <cfRule type="duplicateValues" dxfId="297" priority="180229"/>
    <cfRule type="duplicateValues" dxfId="296" priority="180230"/>
    <cfRule type="duplicateValues" dxfId="295" priority="180231"/>
  </conditionalFormatting>
  <conditionalFormatting sqref="B97">
    <cfRule type="duplicateValues" dxfId="294" priority="16"/>
    <cfRule type="duplicateValues" dxfId="293" priority="17"/>
    <cfRule type="duplicateValues" dxfId="292" priority="18"/>
    <cfRule type="duplicateValues" dxfId="291" priority="19"/>
    <cfRule type="duplicateValues" dxfId="290" priority="20"/>
    <cfRule type="duplicateValues" dxfId="289" priority="21"/>
    <cfRule type="duplicateValues" dxfId="288" priority="22"/>
  </conditionalFormatting>
  <conditionalFormatting sqref="B134">
    <cfRule type="duplicateValues" dxfId="287" priority="323"/>
    <cfRule type="duplicateValues" dxfId="286" priority="324"/>
    <cfRule type="duplicateValues" dxfId="285" priority="325"/>
    <cfRule type="duplicateValues" dxfId="284" priority="326"/>
    <cfRule type="duplicateValues" dxfId="283" priority="327"/>
    <cfRule type="duplicateValues" dxfId="282" priority="328"/>
  </conditionalFormatting>
  <conditionalFormatting sqref="B135:B136">
    <cfRule type="duplicateValues" dxfId="281" priority="311"/>
    <cfRule type="duplicateValues" dxfId="280" priority="312"/>
    <cfRule type="duplicateValues" dxfId="279" priority="313"/>
    <cfRule type="duplicateValues" dxfId="278" priority="314"/>
    <cfRule type="duplicateValues" dxfId="277" priority="315"/>
    <cfRule type="duplicateValues" dxfId="276" priority="316"/>
  </conditionalFormatting>
  <conditionalFormatting sqref="B137">
    <cfRule type="duplicateValues" dxfId="275" priority="305"/>
    <cfRule type="duplicateValues" dxfId="274" priority="306"/>
    <cfRule type="duplicateValues" dxfId="273" priority="307"/>
    <cfRule type="duplicateValues" dxfId="272" priority="308"/>
    <cfRule type="duplicateValues" dxfId="271" priority="309"/>
    <cfRule type="duplicateValues" dxfId="270" priority="310"/>
  </conditionalFormatting>
  <conditionalFormatting sqref="B138:B139">
    <cfRule type="duplicateValues" dxfId="269" priority="181156"/>
    <cfRule type="duplicateValues" dxfId="268" priority="181157"/>
    <cfRule type="duplicateValues" dxfId="267" priority="181158"/>
    <cfRule type="duplicateValues" dxfId="266" priority="181159"/>
    <cfRule type="duplicateValues" dxfId="265" priority="181160"/>
    <cfRule type="duplicateValues" dxfId="264" priority="181161"/>
  </conditionalFormatting>
  <conditionalFormatting sqref="B140">
    <cfRule type="duplicateValues" dxfId="263" priority="298"/>
  </conditionalFormatting>
  <conditionalFormatting sqref="B141 B131:B133">
    <cfRule type="duplicateValues" dxfId="262" priority="181029"/>
    <cfRule type="duplicateValues" dxfId="261" priority="181030"/>
    <cfRule type="duplicateValues" dxfId="260" priority="181031"/>
    <cfRule type="duplicateValues" dxfId="259" priority="181032"/>
    <cfRule type="duplicateValues" dxfId="258" priority="181033"/>
    <cfRule type="duplicateValues" dxfId="257" priority="181034"/>
    <cfRule type="duplicateValues" dxfId="256" priority="181035"/>
    <cfRule type="duplicateValues" dxfId="255" priority="181036"/>
    <cfRule type="duplicateValues" dxfId="254" priority="181037"/>
    <cfRule type="duplicateValues" dxfId="253" priority="181038"/>
    <cfRule type="duplicateValues" dxfId="252" priority="181039"/>
    <cfRule type="duplicateValues" dxfId="251" priority="181040"/>
    <cfRule type="duplicateValues" dxfId="250" priority="181041"/>
    <cfRule type="duplicateValues" dxfId="249" priority="181042"/>
    <cfRule type="duplicateValues" dxfId="248" priority="181043"/>
    <cfRule type="duplicateValues" dxfId="247" priority="181044"/>
  </conditionalFormatting>
  <conditionalFormatting sqref="B142">
    <cfRule type="duplicateValues" dxfId="246" priority="521"/>
    <cfRule type="duplicateValues" dxfId="245" priority="522"/>
    <cfRule type="duplicateValues" dxfId="244" priority="523"/>
    <cfRule type="duplicateValues" dxfId="243" priority="524"/>
    <cfRule type="duplicateValues" dxfId="242" priority="525"/>
    <cfRule type="duplicateValues" dxfId="241" priority="526"/>
  </conditionalFormatting>
  <conditionalFormatting sqref="B143">
    <cfRule type="duplicateValues" dxfId="240" priority="515"/>
    <cfRule type="duplicateValues" dxfId="239" priority="516"/>
    <cfRule type="duplicateValues" dxfId="238" priority="517"/>
    <cfRule type="duplicateValues" dxfId="237" priority="518"/>
    <cfRule type="duplicateValues" dxfId="236" priority="519"/>
    <cfRule type="duplicateValues" dxfId="235" priority="520"/>
  </conditionalFormatting>
  <conditionalFormatting sqref="B144">
    <cfRule type="duplicateValues" dxfId="234" priority="509"/>
    <cfRule type="duplicateValues" dxfId="233" priority="510"/>
    <cfRule type="duplicateValues" dxfId="232" priority="511"/>
    <cfRule type="duplicateValues" dxfId="231" priority="512"/>
    <cfRule type="duplicateValues" dxfId="230" priority="513"/>
    <cfRule type="duplicateValues" dxfId="229" priority="514"/>
  </conditionalFormatting>
  <conditionalFormatting sqref="B145">
    <cfRule type="duplicateValues" dxfId="228" priority="497"/>
    <cfRule type="duplicateValues" dxfId="227" priority="498"/>
    <cfRule type="duplicateValues" dxfId="226" priority="499"/>
    <cfRule type="duplicateValues" dxfId="225" priority="500"/>
    <cfRule type="duplicateValues" dxfId="224" priority="501"/>
    <cfRule type="duplicateValues" dxfId="223" priority="502"/>
  </conditionalFormatting>
  <conditionalFormatting sqref="B147:B148">
    <cfRule type="duplicateValues" dxfId="222" priority="430"/>
    <cfRule type="duplicateValues" dxfId="221" priority="431"/>
    <cfRule type="duplicateValues" dxfId="220" priority="432"/>
    <cfRule type="duplicateValues" dxfId="219" priority="433"/>
    <cfRule type="duplicateValues" dxfId="218" priority="434"/>
    <cfRule type="duplicateValues" dxfId="217" priority="435"/>
  </conditionalFormatting>
  <conditionalFormatting sqref="B149">
    <cfRule type="duplicateValues" dxfId="216" priority="424"/>
    <cfRule type="duplicateValues" dxfId="215" priority="425"/>
    <cfRule type="duplicateValues" dxfId="214" priority="426"/>
    <cfRule type="duplicateValues" dxfId="213" priority="427"/>
    <cfRule type="duplicateValues" dxfId="212" priority="428"/>
    <cfRule type="duplicateValues" dxfId="211" priority="429"/>
  </conditionalFormatting>
  <conditionalFormatting sqref="B150">
    <cfRule type="duplicateValues" dxfId="210" priority="646"/>
    <cfRule type="duplicateValues" dxfId="209" priority="647"/>
    <cfRule type="duplicateValues" dxfId="208" priority="648"/>
    <cfRule type="duplicateValues" dxfId="207" priority="649"/>
    <cfRule type="duplicateValues" dxfId="206" priority="650"/>
    <cfRule type="duplicateValues" dxfId="205" priority="651"/>
  </conditionalFormatting>
  <conditionalFormatting sqref="B151">
    <cfRule type="duplicateValues" dxfId="204" priority="640"/>
    <cfRule type="duplicateValues" dxfId="203" priority="641"/>
    <cfRule type="duplicateValues" dxfId="202" priority="642"/>
    <cfRule type="duplicateValues" dxfId="201" priority="643"/>
    <cfRule type="duplicateValues" dxfId="200" priority="644"/>
    <cfRule type="duplicateValues" dxfId="199" priority="645"/>
  </conditionalFormatting>
  <conditionalFormatting sqref="B152">
    <cfRule type="duplicateValues" dxfId="198" priority="634"/>
    <cfRule type="duplicateValues" dxfId="197" priority="635"/>
    <cfRule type="duplicateValues" dxfId="196" priority="636"/>
    <cfRule type="duplicateValues" dxfId="195" priority="637"/>
    <cfRule type="duplicateValues" dxfId="194" priority="638"/>
    <cfRule type="duplicateValues" dxfId="193" priority="639"/>
  </conditionalFormatting>
  <conditionalFormatting sqref="B155">
    <cfRule type="duplicateValues" dxfId="192" priority="173870"/>
    <cfRule type="duplicateValues" dxfId="191" priority="173871"/>
    <cfRule type="duplicateValues" dxfId="190" priority="173872"/>
    <cfRule type="duplicateValues" dxfId="189" priority="173873"/>
    <cfRule type="duplicateValues" dxfId="188" priority="173874"/>
    <cfRule type="duplicateValues" dxfId="187" priority="173875"/>
  </conditionalFormatting>
  <conditionalFormatting sqref="B156">
    <cfRule type="duplicateValues" dxfId="186" priority="543"/>
    <cfRule type="duplicateValues" dxfId="185" priority="544"/>
    <cfRule type="duplicateValues" dxfId="184" priority="545"/>
    <cfRule type="duplicateValues" dxfId="183" priority="546"/>
    <cfRule type="duplicateValues" dxfId="182" priority="547"/>
    <cfRule type="duplicateValues" dxfId="181" priority="548"/>
  </conditionalFormatting>
  <conditionalFormatting sqref="B157 B153:B154">
    <cfRule type="duplicateValues" dxfId="180" priority="174266"/>
    <cfRule type="duplicateValues" dxfId="179" priority="174267"/>
    <cfRule type="duplicateValues" dxfId="178" priority="174268"/>
    <cfRule type="duplicateValues" dxfId="177" priority="174269"/>
    <cfRule type="duplicateValues" dxfId="176" priority="174270"/>
    <cfRule type="duplicateValues" dxfId="175" priority="174271"/>
    <cfRule type="duplicateValues" dxfId="174" priority="174272"/>
    <cfRule type="duplicateValues" dxfId="173" priority="174273"/>
    <cfRule type="duplicateValues" dxfId="172" priority="174274"/>
    <cfRule type="duplicateValues" dxfId="171" priority="174275"/>
    <cfRule type="duplicateValues" dxfId="170" priority="174276"/>
    <cfRule type="duplicateValues" dxfId="169" priority="174277"/>
    <cfRule type="duplicateValues" dxfId="168" priority="174278"/>
    <cfRule type="duplicateValues" dxfId="167" priority="174279"/>
    <cfRule type="duplicateValues" dxfId="166" priority="174294"/>
    <cfRule type="duplicateValues" dxfId="165" priority="174295"/>
  </conditionalFormatting>
  <conditionalFormatting sqref="B158">
    <cfRule type="duplicateValues" dxfId="164" priority="874"/>
    <cfRule type="duplicateValues" dxfId="163" priority="875"/>
    <cfRule type="duplicateValues" dxfId="162" priority="876"/>
    <cfRule type="duplicateValues" dxfId="161" priority="877"/>
    <cfRule type="duplicateValues" dxfId="160" priority="878"/>
    <cfRule type="duplicateValues" dxfId="159" priority="879"/>
  </conditionalFormatting>
  <conditionalFormatting sqref="B159">
    <cfRule type="duplicateValues" dxfId="158" priority="838"/>
    <cfRule type="duplicateValues" dxfId="157" priority="839"/>
    <cfRule type="duplicateValues" dxfId="156" priority="840"/>
    <cfRule type="duplicateValues" dxfId="155" priority="841"/>
    <cfRule type="duplicateValues" dxfId="154" priority="842"/>
    <cfRule type="duplicateValues" dxfId="153" priority="843"/>
  </conditionalFormatting>
  <conditionalFormatting sqref="B160">
    <cfRule type="duplicateValues" dxfId="152" priority="754"/>
    <cfRule type="duplicateValues" dxfId="151" priority="755"/>
    <cfRule type="duplicateValues" dxfId="150" priority="756"/>
    <cfRule type="duplicateValues" dxfId="149" priority="757"/>
    <cfRule type="duplicateValues" dxfId="148" priority="758"/>
    <cfRule type="duplicateValues" dxfId="147" priority="759"/>
  </conditionalFormatting>
  <conditionalFormatting sqref="B164">
    <cfRule type="duplicateValues" dxfId="146" priority="175791"/>
    <cfRule type="duplicateValues" dxfId="145" priority="175792"/>
    <cfRule type="duplicateValues" dxfId="144" priority="175793"/>
    <cfRule type="duplicateValues" dxfId="143" priority="175794"/>
    <cfRule type="duplicateValues" dxfId="142" priority="175795"/>
    <cfRule type="duplicateValues" dxfId="141" priority="175796"/>
  </conditionalFormatting>
  <conditionalFormatting sqref="B165 B161:B163">
    <cfRule type="duplicateValues" dxfId="140" priority="173823"/>
    <cfRule type="duplicateValues" dxfId="139" priority="173824"/>
    <cfRule type="duplicateValues" dxfId="138" priority="173825"/>
    <cfRule type="duplicateValues" dxfId="137" priority="173826"/>
    <cfRule type="duplicateValues" dxfId="136" priority="173827"/>
    <cfRule type="duplicateValues" dxfId="135" priority="173828"/>
    <cfRule type="duplicateValues" dxfId="134" priority="173829"/>
    <cfRule type="duplicateValues" dxfId="133" priority="173830"/>
    <cfRule type="duplicateValues" dxfId="132" priority="173831"/>
    <cfRule type="duplicateValues" dxfId="131" priority="173832"/>
    <cfRule type="duplicateValues" dxfId="130" priority="173833"/>
    <cfRule type="duplicateValues" dxfId="129" priority="173834"/>
    <cfRule type="duplicateValues" dxfId="128" priority="173835"/>
    <cfRule type="duplicateValues" dxfId="127" priority="173836"/>
  </conditionalFormatting>
  <conditionalFormatting sqref="B165">
    <cfRule type="duplicateValues" dxfId="126" priority="173851"/>
    <cfRule type="duplicateValues" dxfId="125" priority="173852"/>
  </conditionalFormatting>
  <conditionalFormatting sqref="B166 B150:B152 B142:B145 B158:B160 B81:B96 B12:B51 B98:B130 B53:B79">
    <cfRule type="duplicateValues" dxfId="124" priority="177794"/>
  </conditionalFormatting>
  <conditionalFormatting sqref="B166">
    <cfRule type="duplicateValues" dxfId="123" priority="218"/>
    <cfRule type="duplicateValues" dxfId="122" priority="219"/>
    <cfRule type="duplicateValues" dxfId="121" priority="220"/>
    <cfRule type="duplicateValues" dxfId="120" priority="221"/>
    <cfRule type="duplicateValues" dxfId="119" priority="222"/>
    <cfRule type="duplicateValues" dxfId="118" priority="223"/>
  </conditionalFormatting>
  <conditionalFormatting sqref="B168">
    <cfRule type="duplicateValues" dxfId="117" priority="1"/>
    <cfRule type="duplicateValues" dxfId="116" priority="2"/>
    <cfRule type="duplicateValues" dxfId="115" priority="3"/>
    <cfRule type="duplicateValues" dxfId="114" priority="4"/>
    <cfRule type="duplicateValues" dxfId="113" priority="5"/>
    <cfRule type="duplicateValues" dxfId="112" priority="6"/>
    <cfRule type="duplicateValues" dxfId="111" priority="7"/>
  </conditionalFormatting>
  <conditionalFormatting sqref="B169">
    <cfRule type="duplicateValues" dxfId="110" priority="180958"/>
    <cfRule type="duplicateValues" dxfId="109" priority="180959"/>
    <cfRule type="duplicateValues" dxfId="108" priority="180960"/>
    <cfRule type="duplicateValues" dxfId="107" priority="180961"/>
    <cfRule type="duplicateValues" dxfId="106" priority="180962"/>
    <cfRule type="duplicateValues" dxfId="105" priority="180963"/>
    <cfRule type="duplicateValues" dxfId="104" priority="180964"/>
    <cfRule type="duplicateValues" dxfId="103" priority="180965"/>
    <cfRule type="duplicateValues" dxfId="102" priority="180966"/>
    <cfRule type="duplicateValues" dxfId="101" priority="180967"/>
    <cfRule type="duplicateValues" dxfId="100" priority="180968"/>
    <cfRule type="duplicateValues" dxfId="99" priority="180969"/>
    <cfRule type="duplicateValues" dxfId="98" priority="180970"/>
    <cfRule type="duplicateValues" dxfId="97" priority="180971"/>
    <cfRule type="duplicateValues" dxfId="96" priority="180972"/>
    <cfRule type="duplicateValues" dxfId="95" priority="180973"/>
  </conditionalFormatting>
  <conditionalFormatting sqref="B171">
    <cfRule type="duplicateValues" dxfId="94" priority="178007"/>
    <cfRule type="duplicateValues" dxfId="93" priority="178008"/>
    <cfRule type="duplicateValues" dxfId="92" priority="178009"/>
    <cfRule type="duplicateValues" dxfId="91" priority="178010"/>
    <cfRule type="duplicateValues" dxfId="90" priority="178011"/>
    <cfRule type="duplicateValues" dxfId="89" priority="178012"/>
  </conditionalFormatting>
  <conditionalFormatting sqref="B172 B170">
    <cfRule type="duplicateValues" dxfId="88" priority="176044"/>
    <cfRule type="duplicateValues" dxfId="87" priority="176045"/>
    <cfRule type="duplicateValues" dxfId="86" priority="176046"/>
    <cfRule type="duplicateValues" dxfId="85" priority="176047"/>
    <cfRule type="duplicateValues" dxfId="84" priority="176048"/>
    <cfRule type="duplicateValues" dxfId="83" priority="176049"/>
    <cfRule type="duplicateValues" dxfId="82" priority="176050"/>
    <cfRule type="duplicateValues" dxfId="81" priority="176051"/>
    <cfRule type="duplicateValues" dxfId="80" priority="176052"/>
    <cfRule type="duplicateValues" dxfId="79" priority="176053"/>
    <cfRule type="duplicateValues" dxfId="78" priority="176054"/>
    <cfRule type="duplicateValues" dxfId="77" priority="176055"/>
    <cfRule type="duplicateValues" dxfId="76" priority="176056"/>
    <cfRule type="duplicateValues" dxfId="75" priority="176057"/>
  </conditionalFormatting>
  <conditionalFormatting sqref="B172">
    <cfRule type="duplicateValues" dxfId="74" priority="176072"/>
    <cfRule type="duplicateValues" dxfId="73" priority="176073"/>
  </conditionalFormatting>
  <conditionalFormatting sqref="B173">
    <cfRule type="duplicateValues" dxfId="72" priority="86"/>
    <cfRule type="duplicateValues" dxfId="71" priority="87"/>
    <cfRule type="duplicateValues" dxfId="70" priority="88"/>
    <cfRule type="duplicateValues" dxfId="69" priority="89"/>
    <cfRule type="duplicateValues" dxfId="68" priority="90"/>
    <cfRule type="duplicateValues" dxfId="67" priority="91"/>
    <cfRule type="duplicateValues" dxfId="66" priority="92"/>
  </conditionalFormatting>
  <conditionalFormatting sqref="B174">
    <cfRule type="duplicateValues" dxfId="65" priority="79"/>
    <cfRule type="duplicateValues" dxfId="64" priority="80"/>
    <cfRule type="duplicateValues" dxfId="63" priority="81"/>
    <cfRule type="duplicateValues" dxfId="62" priority="82"/>
    <cfRule type="duplicateValues" dxfId="61" priority="83"/>
    <cfRule type="duplicateValues" dxfId="60" priority="84"/>
    <cfRule type="duplicateValues" dxfId="59" priority="85"/>
  </conditionalFormatting>
  <conditionalFormatting sqref="B175:B176">
    <cfRule type="duplicateValues" dxfId="58" priority="72"/>
    <cfRule type="duplicateValues" dxfId="57" priority="73"/>
    <cfRule type="duplicateValues" dxfId="56" priority="74"/>
    <cfRule type="duplicateValues" dxfId="55" priority="75"/>
    <cfRule type="duplicateValues" dxfId="54" priority="76"/>
    <cfRule type="duplicateValues" dxfId="53" priority="77"/>
    <cfRule type="duplicateValues" dxfId="52" priority="78"/>
  </conditionalFormatting>
  <conditionalFormatting sqref="B177:B1048576 B1:B20">
    <cfRule type="duplicateValues" dxfId="51" priority="177672"/>
    <cfRule type="duplicateValues" dxfId="50" priority="177673"/>
  </conditionalFormatting>
  <conditionalFormatting sqref="B177:B1048576 B1:B51 B81:B96 B98:B167 B53:B79 B169:B172">
    <cfRule type="duplicateValues" dxfId="49" priority="99"/>
  </conditionalFormatting>
  <conditionalFormatting sqref="B177:B1048576 B150:B154 B141:B146 B165:B167 B157:B163 B81:B96 B1:B51 B172 B98:B133 B53:B79 B169:B170">
    <cfRule type="duplicateValues" dxfId="48" priority="177659"/>
  </conditionalFormatting>
  <conditionalFormatting sqref="B182:B1048576 B1:B20 B177">
    <cfRule type="duplicateValues" dxfId="47" priority="28146"/>
  </conditionalFormatting>
  <conditionalFormatting sqref="B182:B1048576 B177 B1:B11">
    <cfRule type="duplicateValues" dxfId="46" priority="27972"/>
  </conditionalFormatting>
  <conditionalFormatting sqref="B146">
    <cfRule type="duplicateValues" dxfId="45" priority="181324"/>
    <cfRule type="duplicateValues" dxfId="44" priority="181325"/>
    <cfRule type="duplicateValues" dxfId="43" priority="181326"/>
    <cfRule type="duplicateValues" dxfId="42" priority="181327"/>
    <cfRule type="duplicateValues" dxfId="41" priority="181328"/>
    <cfRule type="duplicateValues" dxfId="40" priority="181329"/>
    <cfRule type="duplicateValues" dxfId="39" priority="181330"/>
    <cfRule type="duplicateValues" dxfId="38" priority="181331"/>
    <cfRule type="duplicateValues" dxfId="37" priority="181332"/>
    <cfRule type="duplicateValues" dxfId="36" priority="181333"/>
    <cfRule type="duplicateValues" dxfId="35" priority="181334"/>
    <cfRule type="duplicateValues" dxfId="34" priority="181335"/>
    <cfRule type="duplicateValues" dxfId="33" priority="181336"/>
    <cfRule type="duplicateValues" dxfId="32" priority="181337"/>
    <cfRule type="duplicateValues" dxfId="31" priority="181338"/>
    <cfRule type="duplicateValues" dxfId="30" priority="181339"/>
  </conditionalFormatting>
  <hyperlinks>
    <hyperlink ref="E8" r:id="rId1" xr:uid="{130130E8-1A0F-4992-B2E3-BDC9AC3EBE36}"/>
    <hyperlink ref="N8" r:id="rId2" xr:uid="{78D3EE74-48E4-4E0D-83D0-82753C1C7423}"/>
  </hyperlinks>
  <printOptions horizontalCentered="1"/>
  <pageMargins left="0.19685039370078741" right="0.19685039370078741" top="0.51181102362204722" bottom="0.23622047244094491" header="0.31496062992125984" footer="0.31496062992125984"/>
  <pageSetup paperSize="9" scale="49" fitToHeight="0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6997-C0F3-4BF1-BAC8-C3026CEB8A78}">
  <sheetPr>
    <pageSetUpPr fitToPage="1"/>
  </sheetPr>
  <dimension ref="A1:U61"/>
  <sheetViews>
    <sheetView zoomScale="70" zoomScaleNormal="70" zoomScaleSheetLayoutView="80" workbookViewId="0">
      <pane ySplit="10" topLeftCell="A37" activePane="bottomLeft" state="frozen"/>
      <selection activeCell="D19" sqref="D19"/>
      <selection pane="bottomLeft" activeCell="A53" sqref="A1:U53"/>
    </sheetView>
  </sheetViews>
  <sheetFormatPr defaultColWidth="9.1796875" defaultRowHeight="14.5" x14ac:dyDescent="0.35"/>
  <cols>
    <col min="1" max="1" width="5.7265625" style="1" customWidth="1"/>
    <col min="2" max="2" width="40.453125" style="41" customWidth="1"/>
    <col min="3" max="3" width="8.26953125" style="23" customWidth="1"/>
    <col min="4" max="4" width="18.7265625" style="32" customWidth="1"/>
    <col min="5" max="5" width="11.7265625" style="1" customWidth="1"/>
    <col min="6" max="6" width="18" style="1" customWidth="1"/>
    <col min="7" max="7" width="11.54296875" style="1" customWidth="1"/>
    <col min="8" max="8" width="8.7265625" style="1" customWidth="1"/>
    <col min="9" max="9" width="8" style="1" customWidth="1"/>
    <col min="10" max="10" width="14.453125" style="1" customWidth="1"/>
    <col min="11" max="11" width="8.7265625" style="1" customWidth="1"/>
    <col min="12" max="12" width="9.26953125" style="1" customWidth="1"/>
    <col min="13" max="13" width="14.7265625" style="1" customWidth="1"/>
    <col min="14" max="14" width="8.7265625" style="19" customWidth="1"/>
    <col min="15" max="15" width="11" style="1" customWidth="1"/>
    <col min="16" max="16" width="13.7265625" style="1" customWidth="1"/>
    <col min="17" max="17" width="11.26953125" style="1" customWidth="1"/>
    <col min="18" max="18" width="9" style="1" customWidth="1"/>
    <col min="19" max="19" width="10.54296875" style="1" customWidth="1"/>
    <col min="20" max="20" width="11.7265625" style="1" customWidth="1"/>
    <col min="21" max="21" width="25.26953125" style="1" customWidth="1"/>
    <col min="22" max="16384" width="9.1796875" style="1"/>
  </cols>
  <sheetData>
    <row r="1" spans="1:21" ht="30" customHeight="1" x14ac:dyDescent="0.3">
      <c r="A1" s="175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7"/>
    </row>
    <row r="2" spans="1:21" ht="17.5" x14ac:dyDescent="0.3">
      <c r="A2" s="143" t="s">
        <v>34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</row>
    <row r="3" spans="1:21" ht="13.5" customHeight="1" x14ac:dyDescent="0.3">
      <c r="A3" s="134" t="s">
        <v>1</v>
      </c>
      <c r="B3" s="135"/>
      <c r="C3" s="135"/>
      <c r="D3" s="136"/>
      <c r="E3" s="146" t="str">
        <f>ALL!E3</f>
        <v>HAPL/Dept./ALL/2026/August/01</v>
      </c>
      <c r="F3" s="135"/>
      <c r="G3" s="135"/>
      <c r="H3" s="135"/>
      <c r="I3" s="135"/>
      <c r="J3" s="135"/>
      <c r="K3" s="135"/>
      <c r="L3" s="135"/>
      <c r="M3" s="135"/>
      <c r="N3" s="146" t="s">
        <v>125</v>
      </c>
      <c r="O3" s="135"/>
      <c r="P3" s="135"/>
      <c r="Q3" s="135"/>
      <c r="R3" s="135"/>
      <c r="S3" s="135"/>
      <c r="T3" s="135"/>
      <c r="U3" s="147"/>
    </row>
    <row r="4" spans="1:21" ht="13.5" hidden="1" customHeight="1" x14ac:dyDescent="0.3">
      <c r="A4" s="134" t="s">
        <v>2</v>
      </c>
      <c r="B4" s="135"/>
      <c r="C4" s="135"/>
      <c r="D4" s="136"/>
      <c r="E4" s="137">
        <f>ALL!E4</f>
        <v>46235</v>
      </c>
      <c r="F4" s="138"/>
      <c r="G4" s="138"/>
      <c r="H4" s="138"/>
      <c r="I4" s="138"/>
      <c r="J4" s="138"/>
      <c r="K4" s="138"/>
      <c r="L4" s="138"/>
      <c r="M4" s="139"/>
      <c r="N4" s="146" t="s">
        <v>127</v>
      </c>
      <c r="O4" s="135"/>
      <c r="P4" s="135"/>
      <c r="Q4" s="135"/>
      <c r="R4" s="135"/>
      <c r="S4" s="135"/>
      <c r="T4" s="135"/>
      <c r="U4" s="147"/>
    </row>
    <row r="5" spans="1:21" ht="13.5" customHeight="1" x14ac:dyDescent="0.3">
      <c r="A5" s="134" t="s">
        <v>3</v>
      </c>
      <c r="B5" s="135"/>
      <c r="C5" s="135"/>
      <c r="D5" s="136"/>
      <c r="E5" s="154" t="str">
        <f>ALL!E5</f>
        <v>Humana Apparels Pvt. Ltd.</v>
      </c>
      <c r="F5" s="155"/>
      <c r="G5" s="155"/>
      <c r="H5" s="155"/>
      <c r="I5" s="155"/>
      <c r="J5" s="155"/>
      <c r="K5" s="155"/>
      <c r="L5" s="155"/>
      <c r="M5" s="178"/>
      <c r="N5" s="146" t="s">
        <v>128</v>
      </c>
      <c r="O5" s="135"/>
      <c r="P5" s="135"/>
      <c r="Q5" s="135"/>
      <c r="R5" s="135"/>
      <c r="S5" s="135"/>
      <c r="T5" s="135"/>
      <c r="U5" s="147"/>
    </row>
    <row r="6" spans="1:21" ht="13.5" customHeight="1" x14ac:dyDescent="0.3">
      <c r="A6" s="134" t="s">
        <v>4</v>
      </c>
      <c r="B6" s="135"/>
      <c r="C6" s="135"/>
      <c r="D6" s="136"/>
      <c r="E6" s="146" t="str">
        <f>ALL!E6</f>
        <v>ALL</v>
      </c>
      <c r="F6" s="135"/>
      <c r="G6" s="135"/>
      <c r="H6" s="135"/>
      <c r="I6" s="135"/>
      <c r="J6" s="135"/>
      <c r="K6" s="135"/>
      <c r="L6" s="135"/>
      <c r="M6" s="136"/>
      <c r="N6" s="148" t="s">
        <v>126</v>
      </c>
      <c r="O6" s="149"/>
      <c r="P6" s="149"/>
      <c r="Q6" s="149"/>
      <c r="R6" s="149"/>
      <c r="S6" s="149"/>
      <c r="T6" s="149"/>
      <c r="U6" s="150"/>
    </row>
    <row r="7" spans="1:21" ht="13.5" customHeight="1" x14ac:dyDescent="0.3">
      <c r="A7" s="134" t="s">
        <v>5</v>
      </c>
      <c r="B7" s="135"/>
      <c r="C7" s="135"/>
      <c r="D7" s="136"/>
      <c r="E7" s="146" t="str">
        <f>ALL!E7</f>
        <v>ALL</v>
      </c>
      <c r="F7" s="135"/>
      <c r="G7" s="135"/>
      <c r="H7" s="135"/>
      <c r="I7" s="135"/>
      <c r="J7" s="135"/>
      <c r="K7" s="135"/>
      <c r="L7" s="135"/>
      <c r="M7" s="136"/>
      <c r="N7" s="148" t="s">
        <v>129</v>
      </c>
      <c r="O7" s="149"/>
      <c r="P7" s="149"/>
      <c r="Q7" s="149"/>
      <c r="R7" s="149"/>
      <c r="S7" s="149"/>
      <c r="T7" s="149"/>
      <c r="U7" s="150"/>
    </row>
    <row r="8" spans="1:21" ht="13.5" customHeight="1" thickBot="1" x14ac:dyDescent="0.35">
      <c r="A8" s="156" t="s">
        <v>6</v>
      </c>
      <c r="B8" s="157"/>
      <c r="C8" s="157"/>
      <c r="D8" s="158"/>
      <c r="E8" s="179" t="str">
        <f>ALL!E8</f>
        <v>amirul@humanaapparels.com</v>
      </c>
      <c r="F8" s="180"/>
      <c r="G8" s="180"/>
      <c r="H8" s="180"/>
      <c r="I8" s="180"/>
      <c r="J8" s="180"/>
      <c r="K8" s="180"/>
      <c r="L8" s="180"/>
      <c r="M8" s="181"/>
      <c r="N8" s="151" t="s">
        <v>69</v>
      </c>
      <c r="O8" s="152"/>
      <c r="P8" s="152"/>
      <c r="Q8" s="152"/>
      <c r="R8" s="152"/>
      <c r="S8" s="152"/>
      <c r="T8" s="152"/>
      <c r="U8" s="153"/>
    </row>
    <row r="9" spans="1:21" ht="25.5" customHeight="1" x14ac:dyDescent="0.3">
      <c r="A9" s="165" t="s">
        <v>7</v>
      </c>
      <c r="B9" s="182" t="s">
        <v>8</v>
      </c>
      <c r="C9" s="171" t="s">
        <v>30</v>
      </c>
      <c r="D9" s="171" t="s">
        <v>9</v>
      </c>
      <c r="E9" s="171" t="s">
        <v>10</v>
      </c>
      <c r="F9" s="171" t="s">
        <v>33</v>
      </c>
      <c r="G9" s="171" t="s">
        <v>11</v>
      </c>
      <c r="H9" s="171"/>
      <c r="I9" s="171"/>
      <c r="J9" s="171"/>
      <c r="K9" s="171" t="s">
        <v>12</v>
      </c>
      <c r="L9" s="171"/>
      <c r="M9" s="171"/>
      <c r="N9" s="171" t="s">
        <v>13</v>
      </c>
      <c r="O9" s="171"/>
      <c r="P9" s="171"/>
      <c r="Q9" s="171" t="s">
        <v>14</v>
      </c>
      <c r="R9" s="171"/>
      <c r="S9" s="171" t="s">
        <v>15</v>
      </c>
      <c r="T9" s="171"/>
      <c r="U9" s="173" t="s">
        <v>16</v>
      </c>
    </row>
    <row r="10" spans="1:21" ht="30" customHeight="1" thickBot="1" x14ac:dyDescent="0.35">
      <c r="A10" s="166"/>
      <c r="B10" s="183"/>
      <c r="C10" s="172"/>
      <c r="D10" s="172"/>
      <c r="E10" s="172"/>
      <c r="F10" s="172"/>
      <c r="G10" s="37" t="s">
        <v>17</v>
      </c>
      <c r="H10" s="37" t="s">
        <v>18</v>
      </c>
      <c r="I10" s="37" t="s">
        <v>19</v>
      </c>
      <c r="J10" s="37" t="s">
        <v>20</v>
      </c>
      <c r="K10" s="38" t="s">
        <v>21</v>
      </c>
      <c r="L10" s="37" t="s">
        <v>31</v>
      </c>
      <c r="M10" s="37" t="s">
        <v>22</v>
      </c>
      <c r="N10" s="39" t="s">
        <v>21</v>
      </c>
      <c r="O10" s="37" t="s">
        <v>23</v>
      </c>
      <c r="P10" s="38" t="s">
        <v>24</v>
      </c>
      <c r="Q10" s="37" t="s">
        <v>32</v>
      </c>
      <c r="R10" s="38" t="s">
        <v>25</v>
      </c>
      <c r="S10" s="37" t="s">
        <v>32</v>
      </c>
      <c r="T10" s="38" t="s">
        <v>25</v>
      </c>
      <c r="U10" s="174"/>
    </row>
    <row r="11" spans="1:21" ht="27" customHeight="1" x14ac:dyDescent="0.3">
      <c r="A11" s="28">
        <v>1</v>
      </c>
      <c r="B11" s="44" t="s">
        <v>212</v>
      </c>
      <c r="C11" s="44" t="s">
        <v>37</v>
      </c>
      <c r="D11" s="45"/>
      <c r="E11" s="46" t="s">
        <v>103</v>
      </c>
      <c r="F11" s="49" t="s">
        <v>44</v>
      </c>
      <c r="G11" s="42">
        <v>28</v>
      </c>
      <c r="H11" s="46">
        <v>20</v>
      </c>
      <c r="I11" s="46">
        <v>1</v>
      </c>
      <c r="J11" s="46">
        <v>5</v>
      </c>
      <c r="K11" s="46">
        <v>15</v>
      </c>
      <c r="L11" s="52">
        <v>290</v>
      </c>
      <c r="M11" s="75">
        <v>46193</v>
      </c>
      <c r="N11" s="46">
        <v>8</v>
      </c>
      <c r="O11" s="62">
        <v>290</v>
      </c>
      <c r="P11" s="61">
        <v>2320</v>
      </c>
      <c r="Q11" s="29"/>
      <c r="R11" s="29"/>
      <c r="S11" s="29"/>
      <c r="T11" s="29"/>
      <c r="U11" s="48"/>
    </row>
    <row r="12" spans="1:21" ht="27" customHeight="1" x14ac:dyDescent="0.3">
      <c r="A12" s="28">
        <v>2</v>
      </c>
      <c r="B12" s="44" t="s">
        <v>152</v>
      </c>
      <c r="C12" s="44" t="s">
        <v>37</v>
      </c>
      <c r="D12" s="47"/>
      <c r="E12" s="46" t="s">
        <v>103</v>
      </c>
      <c r="F12" s="49" t="s">
        <v>151</v>
      </c>
      <c r="G12" s="42">
        <v>336</v>
      </c>
      <c r="H12" s="46">
        <v>101</v>
      </c>
      <c r="I12" s="46">
        <v>32</v>
      </c>
      <c r="J12" s="46">
        <v>279</v>
      </c>
      <c r="K12" s="46">
        <v>380</v>
      </c>
      <c r="L12" s="52">
        <v>5</v>
      </c>
      <c r="M12" s="75">
        <v>46222</v>
      </c>
      <c r="N12" s="49">
        <v>235</v>
      </c>
      <c r="O12" s="77">
        <v>5</v>
      </c>
      <c r="P12" s="63">
        <v>1175</v>
      </c>
      <c r="Q12" s="29"/>
      <c r="R12" s="29"/>
      <c r="S12" s="29"/>
      <c r="T12" s="29"/>
      <c r="U12" s="48"/>
    </row>
    <row r="13" spans="1:21" ht="27" customHeight="1" x14ac:dyDescent="0.3">
      <c r="A13" s="28">
        <v>3</v>
      </c>
      <c r="B13" s="44" t="s">
        <v>92</v>
      </c>
      <c r="C13" s="44" t="s">
        <v>37</v>
      </c>
      <c r="D13" s="47"/>
      <c r="E13" s="46" t="s">
        <v>103</v>
      </c>
      <c r="F13" s="49" t="s">
        <v>312</v>
      </c>
      <c r="G13" s="42">
        <v>250</v>
      </c>
      <c r="H13" s="46">
        <v>105</v>
      </c>
      <c r="I13" s="46">
        <v>25</v>
      </c>
      <c r="J13" s="46">
        <v>217</v>
      </c>
      <c r="K13" s="46">
        <v>130</v>
      </c>
      <c r="L13" s="52">
        <v>16</v>
      </c>
      <c r="M13" s="75">
        <v>46229</v>
      </c>
      <c r="N13" s="49">
        <v>145</v>
      </c>
      <c r="O13" s="77">
        <v>16</v>
      </c>
      <c r="P13" s="63">
        <v>2320</v>
      </c>
      <c r="Q13" s="29"/>
      <c r="R13" s="29"/>
      <c r="S13" s="29"/>
      <c r="T13" s="29"/>
      <c r="U13" s="48"/>
    </row>
    <row r="14" spans="1:21" ht="27" customHeight="1" x14ac:dyDescent="0.3">
      <c r="A14" s="28">
        <v>4</v>
      </c>
      <c r="B14" s="44" t="s">
        <v>153</v>
      </c>
      <c r="C14" s="44" t="s">
        <v>37</v>
      </c>
      <c r="D14" s="47"/>
      <c r="E14" s="46" t="s">
        <v>103</v>
      </c>
      <c r="F14" s="49" t="s">
        <v>151</v>
      </c>
      <c r="G14" s="42">
        <v>150</v>
      </c>
      <c r="H14" s="46">
        <v>103</v>
      </c>
      <c r="I14" s="46">
        <v>17</v>
      </c>
      <c r="J14" s="46">
        <v>144</v>
      </c>
      <c r="K14" s="46">
        <v>75</v>
      </c>
      <c r="L14" s="52">
        <v>17</v>
      </c>
      <c r="M14" s="75">
        <v>46221</v>
      </c>
      <c r="N14" s="49">
        <v>47</v>
      </c>
      <c r="O14" s="77">
        <v>17</v>
      </c>
      <c r="P14" s="63">
        <v>799</v>
      </c>
      <c r="Q14" s="29"/>
      <c r="R14" s="29"/>
      <c r="S14" s="29"/>
      <c r="T14" s="29"/>
      <c r="U14" s="48"/>
    </row>
    <row r="15" spans="1:21" ht="27" customHeight="1" x14ac:dyDescent="0.3">
      <c r="A15" s="28">
        <v>5</v>
      </c>
      <c r="B15" s="44" t="s">
        <v>154</v>
      </c>
      <c r="C15" s="44" t="s">
        <v>37</v>
      </c>
      <c r="D15" s="47"/>
      <c r="E15" s="46" t="s">
        <v>103</v>
      </c>
      <c r="F15" s="74" t="s">
        <v>151</v>
      </c>
      <c r="G15" s="42">
        <v>160</v>
      </c>
      <c r="H15" s="46">
        <v>92</v>
      </c>
      <c r="I15" s="46">
        <v>13</v>
      </c>
      <c r="J15" s="46">
        <v>115</v>
      </c>
      <c r="K15" s="46">
        <v>163</v>
      </c>
      <c r="L15" s="52">
        <v>5</v>
      </c>
      <c r="M15" s="75">
        <v>46221</v>
      </c>
      <c r="N15" s="49">
        <v>68</v>
      </c>
      <c r="O15" s="77">
        <v>5</v>
      </c>
      <c r="P15" s="63">
        <v>340</v>
      </c>
      <c r="Q15" s="29"/>
      <c r="R15" s="29"/>
      <c r="S15" s="29"/>
      <c r="T15" s="29"/>
      <c r="U15" s="48"/>
    </row>
    <row r="16" spans="1:21" ht="27" customHeight="1" x14ac:dyDescent="0.3">
      <c r="A16" s="28">
        <v>6</v>
      </c>
      <c r="B16" s="44" t="s">
        <v>106</v>
      </c>
      <c r="C16" s="44" t="s">
        <v>37</v>
      </c>
      <c r="D16" s="47"/>
      <c r="E16" s="46" t="s">
        <v>103</v>
      </c>
      <c r="F16" s="49" t="s">
        <v>151</v>
      </c>
      <c r="G16" s="42">
        <v>72</v>
      </c>
      <c r="H16" s="46">
        <v>39</v>
      </c>
      <c r="I16" s="46">
        <v>6</v>
      </c>
      <c r="J16" s="46">
        <v>51</v>
      </c>
      <c r="K16" s="46">
        <v>60</v>
      </c>
      <c r="L16" s="52">
        <v>5</v>
      </c>
      <c r="M16" s="75">
        <v>46222</v>
      </c>
      <c r="N16" s="49">
        <v>33</v>
      </c>
      <c r="O16" s="77">
        <v>5</v>
      </c>
      <c r="P16" s="63">
        <v>165</v>
      </c>
      <c r="Q16" s="29"/>
      <c r="R16" s="29"/>
      <c r="S16" s="29"/>
      <c r="T16" s="29"/>
      <c r="U16" s="48"/>
    </row>
    <row r="17" spans="1:21" ht="27" customHeight="1" x14ac:dyDescent="0.3">
      <c r="A17" s="28">
        <v>7</v>
      </c>
      <c r="B17" s="44" t="s">
        <v>74</v>
      </c>
      <c r="C17" s="44" t="s">
        <v>37</v>
      </c>
      <c r="D17" s="47"/>
      <c r="E17" s="46" t="s">
        <v>103</v>
      </c>
      <c r="F17" s="46" t="s">
        <v>327</v>
      </c>
      <c r="G17" s="44">
        <v>6</v>
      </c>
      <c r="H17" s="46">
        <v>0</v>
      </c>
      <c r="I17" s="46">
        <v>1</v>
      </c>
      <c r="J17" s="46">
        <v>9</v>
      </c>
      <c r="K17" s="46">
        <v>4</v>
      </c>
      <c r="L17" s="52">
        <v>390</v>
      </c>
      <c r="M17" s="75">
        <v>46222</v>
      </c>
      <c r="N17" s="49">
        <v>6</v>
      </c>
      <c r="O17" s="77">
        <v>390</v>
      </c>
      <c r="P17" s="63">
        <v>2340</v>
      </c>
      <c r="Q17" s="29"/>
      <c r="R17" s="29"/>
      <c r="S17" s="29"/>
      <c r="T17" s="29"/>
      <c r="U17" s="48"/>
    </row>
    <row r="18" spans="1:21" ht="27" customHeight="1" x14ac:dyDescent="0.3">
      <c r="A18" s="28">
        <v>8</v>
      </c>
      <c r="B18" s="44" t="s">
        <v>38</v>
      </c>
      <c r="C18" s="44" t="s">
        <v>39</v>
      </c>
      <c r="D18" s="47"/>
      <c r="E18" s="46" t="s">
        <v>103</v>
      </c>
      <c r="F18" s="46" t="s">
        <v>151</v>
      </c>
      <c r="G18" s="65">
        <v>102</v>
      </c>
      <c r="H18" s="46">
        <v>61</v>
      </c>
      <c r="I18" s="46">
        <v>10</v>
      </c>
      <c r="J18" s="46">
        <v>86</v>
      </c>
      <c r="K18" s="46">
        <v>123</v>
      </c>
      <c r="L18" s="52">
        <v>430</v>
      </c>
      <c r="M18" s="75">
        <v>46222</v>
      </c>
      <c r="N18" s="49">
        <v>41</v>
      </c>
      <c r="O18" s="77">
        <v>430</v>
      </c>
      <c r="P18" s="63">
        <v>17630</v>
      </c>
      <c r="Q18" s="29"/>
      <c r="R18" s="29"/>
      <c r="S18" s="29"/>
      <c r="T18" s="29"/>
      <c r="U18" s="48"/>
    </row>
    <row r="19" spans="1:21" ht="27" customHeight="1" x14ac:dyDescent="0.3">
      <c r="A19" s="28">
        <v>9</v>
      </c>
      <c r="B19" s="44" t="s">
        <v>132</v>
      </c>
      <c r="C19" s="44" t="s">
        <v>37</v>
      </c>
      <c r="D19" s="47"/>
      <c r="E19" s="46" t="s">
        <v>103</v>
      </c>
      <c r="F19" s="46" t="s">
        <v>313</v>
      </c>
      <c r="G19" s="44">
        <v>24</v>
      </c>
      <c r="H19" s="46">
        <v>10</v>
      </c>
      <c r="I19" s="46">
        <v>2</v>
      </c>
      <c r="J19" s="46">
        <v>14</v>
      </c>
      <c r="K19" s="46">
        <v>3</v>
      </c>
      <c r="L19" s="52">
        <v>10</v>
      </c>
      <c r="M19" s="75">
        <v>46221</v>
      </c>
      <c r="N19" s="49">
        <v>14</v>
      </c>
      <c r="O19" s="77">
        <v>10</v>
      </c>
      <c r="P19" s="63">
        <v>140</v>
      </c>
      <c r="Q19" s="29"/>
      <c r="R19" s="29"/>
      <c r="S19" s="29"/>
      <c r="T19" s="29"/>
      <c r="U19" s="48"/>
    </row>
    <row r="20" spans="1:21" ht="27" customHeight="1" x14ac:dyDescent="0.3">
      <c r="A20" s="28">
        <v>10</v>
      </c>
      <c r="B20" s="44" t="s">
        <v>222</v>
      </c>
      <c r="C20" s="44" t="s">
        <v>37</v>
      </c>
      <c r="D20" s="47"/>
      <c r="E20" s="46" t="s">
        <v>103</v>
      </c>
      <c r="F20" s="49" t="s">
        <v>331</v>
      </c>
      <c r="G20" s="42">
        <v>16</v>
      </c>
      <c r="H20" s="46">
        <v>0</v>
      </c>
      <c r="I20" s="46">
        <v>0</v>
      </c>
      <c r="J20" s="46">
        <v>0</v>
      </c>
      <c r="K20" s="46">
        <v>6</v>
      </c>
      <c r="L20" s="52">
        <v>4.8499999999999996</v>
      </c>
      <c r="M20" s="75">
        <v>46153</v>
      </c>
      <c r="N20" s="49">
        <v>16</v>
      </c>
      <c r="O20" s="77">
        <v>4.8499999999999996</v>
      </c>
      <c r="P20" s="63">
        <v>77.599999999999994</v>
      </c>
      <c r="Q20" s="29"/>
      <c r="R20" s="29"/>
      <c r="S20" s="29"/>
      <c r="T20" s="29"/>
      <c r="U20" s="48"/>
    </row>
    <row r="21" spans="1:21" ht="27" customHeight="1" x14ac:dyDescent="0.3">
      <c r="A21" s="28">
        <v>11</v>
      </c>
      <c r="B21" s="44" t="s">
        <v>51</v>
      </c>
      <c r="C21" s="44" t="s">
        <v>37</v>
      </c>
      <c r="D21" s="47"/>
      <c r="E21" s="46" t="s">
        <v>103</v>
      </c>
      <c r="F21" s="49" t="s">
        <v>235</v>
      </c>
      <c r="G21" s="42">
        <v>24</v>
      </c>
      <c r="H21" s="46">
        <v>9</v>
      </c>
      <c r="I21" s="46">
        <v>2</v>
      </c>
      <c r="J21" s="46">
        <v>16</v>
      </c>
      <c r="K21" s="46">
        <v>7</v>
      </c>
      <c r="L21" s="52">
        <v>2940</v>
      </c>
      <c r="M21" s="75">
        <v>46232</v>
      </c>
      <c r="N21" s="49">
        <v>15</v>
      </c>
      <c r="O21" s="77">
        <v>2940</v>
      </c>
      <c r="P21" s="63">
        <v>44100</v>
      </c>
      <c r="Q21" s="29"/>
      <c r="R21" s="29"/>
      <c r="S21" s="29"/>
      <c r="T21" s="29"/>
      <c r="U21" s="48"/>
    </row>
    <row r="22" spans="1:21" ht="27" customHeight="1" x14ac:dyDescent="0.3">
      <c r="A22" s="28">
        <v>12</v>
      </c>
      <c r="B22" s="44" t="s">
        <v>223</v>
      </c>
      <c r="C22" s="44" t="s">
        <v>37</v>
      </c>
      <c r="D22" s="47" t="s">
        <v>224</v>
      </c>
      <c r="E22" s="46" t="s">
        <v>103</v>
      </c>
      <c r="F22" s="49" t="s">
        <v>235</v>
      </c>
      <c r="G22" s="42">
        <v>5</v>
      </c>
      <c r="H22" s="46">
        <v>0</v>
      </c>
      <c r="I22" s="46">
        <v>1</v>
      </c>
      <c r="J22" s="46">
        <v>10</v>
      </c>
      <c r="K22" s="46">
        <v>4</v>
      </c>
      <c r="L22" s="52">
        <v>30</v>
      </c>
      <c r="M22" s="75">
        <v>46191</v>
      </c>
      <c r="N22" s="49">
        <v>5</v>
      </c>
      <c r="O22" s="77">
        <v>30</v>
      </c>
      <c r="P22" s="63">
        <v>150</v>
      </c>
      <c r="Q22" s="29"/>
      <c r="R22" s="29"/>
      <c r="S22" s="29"/>
      <c r="T22" s="29"/>
      <c r="U22" s="48"/>
    </row>
    <row r="23" spans="1:21" ht="27" customHeight="1" x14ac:dyDescent="0.3">
      <c r="A23" s="28">
        <v>13</v>
      </c>
      <c r="B23" s="44" t="s">
        <v>225</v>
      </c>
      <c r="C23" s="44" t="s">
        <v>37</v>
      </c>
      <c r="D23" s="47" t="s">
        <v>150</v>
      </c>
      <c r="E23" s="46" t="s">
        <v>103</v>
      </c>
      <c r="F23" s="49" t="s">
        <v>324</v>
      </c>
      <c r="G23" s="42">
        <v>5</v>
      </c>
      <c r="H23" s="46">
        <v>3</v>
      </c>
      <c r="I23" s="46">
        <v>0</v>
      </c>
      <c r="J23" s="46">
        <v>1</v>
      </c>
      <c r="K23" s="46">
        <v>4</v>
      </c>
      <c r="L23" s="52">
        <v>810</v>
      </c>
      <c r="M23" s="75">
        <v>46232</v>
      </c>
      <c r="N23" s="49">
        <v>2</v>
      </c>
      <c r="O23" s="77">
        <v>810</v>
      </c>
      <c r="P23" s="63">
        <v>1620</v>
      </c>
      <c r="Q23" s="29"/>
      <c r="R23" s="29"/>
      <c r="S23" s="29"/>
      <c r="T23" s="29"/>
      <c r="U23" s="48"/>
    </row>
    <row r="24" spans="1:21" ht="27" customHeight="1" x14ac:dyDescent="0.3">
      <c r="A24" s="28">
        <v>14</v>
      </c>
      <c r="B24" s="44" t="s">
        <v>226</v>
      </c>
      <c r="C24" s="44" t="s">
        <v>43</v>
      </c>
      <c r="D24" s="47" t="s">
        <v>227</v>
      </c>
      <c r="E24" s="46" t="s">
        <v>103</v>
      </c>
      <c r="F24" s="46" t="s">
        <v>235</v>
      </c>
      <c r="G24" s="44">
        <v>10</v>
      </c>
      <c r="H24" s="46">
        <v>0</v>
      </c>
      <c r="I24" s="46">
        <v>0</v>
      </c>
      <c r="J24" s="46">
        <v>0</v>
      </c>
      <c r="K24" s="46">
        <v>0</v>
      </c>
      <c r="L24" s="52">
        <v>0</v>
      </c>
      <c r="M24" s="75">
        <v>0</v>
      </c>
      <c r="N24" s="49">
        <v>10</v>
      </c>
      <c r="O24" s="77">
        <v>0</v>
      </c>
      <c r="P24" s="63">
        <v>0</v>
      </c>
      <c r="Q24" s="29"/>
      <c r="R24" s="29"/>
      <c r="S24" s="29"/>
      <c r="T24" s="29"/>
      <c r="U24" s="48"/>
    </row>
    <row r="25" spans="1:21" ht="27" customHeight="1" x14ac:dyDescent="0.3">
      <c r="A25" s="28">
        <v>15</v>
      </c>
      <c r="B25" s="44" t="s">
        <v>228</v>
      </c>
      <c r="C25" s="44" t="s">
        <v>229</v>
      </c>
      <c r="D25" s="47" t="s">
        <v>230</v>
      </c>
      <c r="E25" s="46" t="s">
        <v>103</v>
      </c>
      <c r="F25" s="46" t="s">
        <v>235</v>
      </c>
      <c r="G25" s="65">
        <v>10</v>
      </c>
      <c r="H25" s="46">
        <v>0</v>
      </c>
      <c r="I25" s="46">
        <v>0</v>
      </c>
      <c r="J25" s="46">
        <v>0</v>
      </c>
      <c r="K25" s="46">
        <v>0</v>
      </c>
      <c r="L25" s="52">
        <v>0</v>
      </c>
      <c r="M25" s="75">
        <v>0</v>
      </c>
      <c r="N25" s="49">
        <v>10</v>
      </c>
      <c r="O25" s="77">
        <v>0</v>
      </c>
      <c r="P25" s="63">
        <v>0</v>
      </c>
      <c r="Q25" s="29"/>
      <c r="R25" s="29"/>
      <c r="S25" s="29"/>
      <c r="T25" s="29"/>
      <c r="U25" s="48"/>
    </row>
    <row r="26" spans="1:21" ht="27" customHeight="1" x14ac:dyDescent="0.3">
      <c r="A26" s="28">
        <v>16</v>
      </c>
      <c r="B26" s="44" t="s">
        <v>231</v>
      </c>
      <c r="C26" s="44" t="s">
        <v>232</v>
      </c>
      <c r="D26" s="47"/>
      <c r="E26" s="46" t="s">
        <v>42</v>
      </c>
      <c r="F26" s="46" t="s">
        <v>235</v>
      </c>
      <c r="G26" s="44">
        <v>5</v>
      </c>
      <c r="H26" s="46">
        <v>0</v>
      </c>
      <c r="I26" s="46">
        <v>0</v>
      </c>
      <c r="J26" s="46">
        <v>0</v>
      </c>
      <c r="K26" s="46">
        <v>0</v>
      </c>
      <c r="L26" s="52">
        <v>0</v>
      </c>
      <c r="M26" s="75">
        <v>0</v>
      </c>
      <c r="N26" s="49">
        <v>5</v>
      </c>
      <c r="O26" s="77">
        <v>0</v>
      </c>
      <c r="P26" s="63">
        <v>0</v>
      </c>
      <c r="Q26" s="29"/>
      <c r="R26" s="29"/>
      <c r="S26" s="29"/>
      <c r="T26" s="29"/>
      <c r="U26" s="48"/>
    </row>
    <row r="27" spans="1:21" ht="27" customHeight="1" x14ac:dyDescent="0.3">
      <c r="A27" s="28">
        <v>17</v>
      </c>
      <c r="B27" s="44" t="s">
        <v>233</v>
      </c>
      <c r="C27" s="44" t="s">
        <v>37</v>
      </c>
      <c r="D27" s="47" t="s">
        <v>234</v>
      </c>
      <c r="E27" s="46" t="s">
        <v>42</v>
      </c>
      <c r="F27" s="49" t="s">
        <v>235</v>
      </c>
      <c r="G27" s="42">
        <v>4</v>
      </c>
      <c r="H27" s="46">
        <v>0</v>
      </c>
      <c r="I27" s="46">
        <v>0</v>
      </c>
      <c r="J27" s="46">
        <v>0</v>
      </c>
      <c r="K27" s="46">
        <v>0</v>
      </c>
      <c r="L27" s="52">
        <v>0</v>
      </c>
      <c r="M27" s="75">
        <v>0</v>
      </c>
      <c r="N27" s="49">
        <v>4</v>
      </c>
      <c r="O27" s="77">
        <v>0</v>
      </c>
      <c r="P27" s="63">
        <v>0</v>
      </c>
      <c r="Q27" s="29"/>
      <c r="R27" s="29"/>
      <c r="S27" s="29"/>
      <c r="T27" s="29"/>
      <c r="U27" s="48"/>
    </row>
    <row r="28" spans="1:21" ht="27" customHeight="1" x14ac:dyDescent="0.3">
      <c r="A28" s="28">
        <v>18</v>
      </c>
      <c r="B28" s="44" t="s">
        <v>164</v>
      </c>
      <c r="C28" s="44" t="s">
        <v>40</v>
      </c>
      <c r="D28" s="47"/>
      <c r="E28" s="46" t="s">
        <v>103</v>
      </c>
      <c r="F28" s="49" t="s">
        <v>209</v>
      </c>
      <c r="G28" s="42">
        <v>2</v>
      </c>
      <c r="H28" s="46">
        <v>1</v>
      </c>
      <c r="I28" s="46">
        <v>0</v>
      </c>
      <c r="J28" s="46">
        <v>0</v>
      </c>
      <c r="K28" s="46">
        <v>1</v>
      </c>
      <c r="L28" s="52">
        <v>780</v>
      </c>
      <c r="M28" s="75">
        <v>46222</v>
      </c>
      <c r="N28" s="49">
        <v>1</v>
      </c>
      <c r="O28" s="77">
        <v>780</v>
      </c>
      <c r="P28" s="63">
        <v>780</v>
      </c>
      <c r="Q28" s="29"/>
      <c r="R28" s="29"/>
      <c r="S28" s="29"/>
      <c r="T28" s="29"/>
      <c r="U28" s="48"/>
    </row>
    <row r="29" spans="1:21" ht="27" customHeight="1" x14ac:dyDescent="0.3">
      <c r="A29" s="28">
        <v>19</v>
      </c>
      <c r="B29" s="44" t="s">
        <v>114</v>
      </c>
      <c r="C29" s="44" t="s">
        <v>80</v>
      </c>
      <c r="D29" s="47"/>
      <c r="E29" s="46" t="s">
        <v>103</v>
      </c>
      <c r="F29" s="49" t="s">
        <v>209</v>
      </c>
      <c r="G29" s="42">
        <v>1</v>
      </c>
      <c r="H29" s="46">
        <v>0</v>
      </c>
      <c r="I29" s="46">
        <v>0</v>
      </c>
      <c r="J29" s="46">
        <v>1</v>
      </c>
      <c r="K29" s="46">
        <v>1</v>
      </c>
      <c r="L29" s="52">
        <v>4200</v>
      </c>
      <c r="M29" s="75">
        <v>46207</v>
      </c>
      <c r="N29" s="49">
        <v>1</v>
      </c>
      <c r="O29" s="77">
        <v>4200</v>
      </c>
      <c r="P29" s="63">
        <v>4200</v>
      </c>
      <c r="Q29" s="29"/>
      <c r="R29" s="29"/>
      <c r="S29" s="29"/>
      <c r="T29" s="29"/>
      <c r="U29" s="48"/>
    </row>
    <row r="30" spans="1:21" ht="27" customHeight="1" x14ac:dyDescent="0.3">
      <c r="A30" s="28">
        <v>20</v>
      </c>
      <c r="B30" s="44" t="s">
        <v>236</v>
      </c>
      <c r="C30" s="44" t="s">
        <v>37</v>
      </c>
      <c r="D30" s="47"/>
      <c r="E30" s="46" t="s">
        <v>103</v>
      </c>
      <c r="F30" s="49" t="s">
        <v>209</v>
      </c>
      <c r="G30" s="42">
        <v>20</v>
      </c>
      <c r="H30" s="46">
        <v>0</v>
      </c>
      <c r="I30" s="46">
        <v>0</v>
      </c>
      <c r="J30" s="46">
        <v>0</v>
      </c>
      <c r="K30" s="46">
        <v>29</v>
      </c>
      <c r="L30" s="52">
        <v>15</v>
      </c>
      <c r="M30" s="75">
        <v>45434</v>
      </c>
      <c r="N30" s="49">
        <v>20</v>
      </c>
      <c r="O30" s="77">
        <v>15</v>
      </c>
      <c r="P30" s="63">
        <v>300</v>
      </c>
      <c r="Q30" s="29"/>
      <c r="R30" s="29"/>
      <c r="S30" s="29"/>
      <c r="T30" s="29"/>
      <c r="U30" s="48"/>
    </row>
    <row r="31" spans="1:21" ht="27" customHeight="1" x14ac:dyDescent="0.3">
      <c r="A31" s="28">
        <v>21</v>
      </c>
      <c r="B31" s="44" t="s">
        <v>237</v>
      </c>
      <c r="C31" s="44" t="s">
        <v>37</v>
      </c>
      <c r="D31" s="47" t="s">
        <v>238</v>
      </c>
      <c r="E31" s="46" t="s">
        <v>103</v>
      </c>
      <c r="F31" s="49" t="s">
        <v>209</v>
      </c>
      <c r="G31" s="42">
        <v>60</v>
      </c>
      <c r="H31" s="46">
        <v>0</v>
      </c>
      <c r="I31" s="46">
        <v>3</v>
      </c>
      <c r="J31" s="46">
        <v>24</v>
      </c>
      <c r="K31" s="46">
        <v>25</v>
      </c>
      <c r="L31" s="52">
        <v>4</v>
      </c>
      <c r="M31" s="75">
        <v>45936</v>
      </c>
      <c r="N31" s="49">
        <v>60</v>
      </c>
      <c r="O31" s="77">
        <v>4</v>
      </c>
      <c r="P31" s="63">
        <v>240</v>
      </c>
      <c r="Q31" s="29"/>
      <c r="R31" s="29"/>
      <c r="S31" s="29"/>
      <c r="T31" s="29"/>
      <c r="U31" s="48"/>
    </row>
    <row r="32" spans="1:21" ht="27" customHeight="1" x14ac:dyDescent="0.3">
      <c r="A32" s="28">
        <v>22</v>
      </c>
      <c r="B32" s="44" t="s">
        <v>165</v>
      </c>
      <c r="C32" s="44" t="s">
        <v>37</v>
      </c>
      <c r="D32" s="47" t="s">
        <v>240</v>
      </c>
      <c r="E32" s="46" t="s">
        <v>42</v>
      </c>
      <c r="F32" s="49" t="s">
        <v>209</v>
      </c>
      <c r="G32" s="42">
        <v>6</v>
      </c>
      <c r="H32" s="46">
        <v>0</v>
      </c>
      <c r="I32" s="46">
        <v>0</v>
      </c>
      <c r="J32" s="46">
        <v>0</v>
      </c>
      <c r="K32" s="46">
        <v>0</v>
      </c>
      <c r="L32" s="52">
        <v>0</v>
      </c>
      <c r="M32" s="75">
        <v>0</v>
      </c>
      <c r="N32" s="49">
        <v>6</v>
      </c>
      <c r="O32" s="77">
        <v>0</v>
      </c>
      <c r="P32" s="63">
        <v>0</v>
      </c>
      <c r="Q32" s="29"/>
      <c r="R32" s="29"/>
      <c r="S32" s="29"/>
      <c r="T32" s="29"/>
      <c r="U32" s="48"/>
    </row>
    <row r="33" spans="1:21" ht="27" customHeight="1" x14ac:dyDescent="0.3">
      <c r="A33" s="28">
        <v>23</v>
      </c>
      <c r="B33" s="44" t="s">
        <v>155</v>
      </c>
      <c r="C33" s="44" t="s">
        <v>37</v>
      </c>
      <c r="D33" s="47"/>
      <c r="E33" s="46" t="s">
        <v>103</v>
      </c>
      <c r="F33" s="49" t="s">
        <v>319</v>
      </c>
      <c r="G33" s="42">
        <v>72</v>
      </c>
      <c r="H33" s="46">
        <v>25</v>
      </c>
      <c r="I33" s="46">
        <v>3</v>
      </c>
      <c r="J33" s="46">
        <v>27</v>
      </c>
      <c r="K33" s="46">
        <v>10</v>
      </c>
      <c r="L33" s="52">
        <v>33</v>
      </c>
      <c r="M33" s="75">
        <v>46222</v>
      </c>
      <c r="N33" s="49">
        <v>47</v>
      </c>
      <c r="O33" s="77">
        <v>33</v>
      </c>
      <c r="P33" s="63">
        <v>1551</v>
      </c>
      <c r="Q33" s="29"/>
      <c r="R33" s="29"/>
      <c r="S33" s="29"/>
      <c r="T33" s="29"/>
      <c r="U33" s="48"/>
    </row>
    <row r="34" spans="1:21" ht="27" customHeight="1" x14ac:dyDescent="0.3">
      <c r="A34" s="28">
        <v>24</v>
      </c>
      <c r="B34" s="44" t="s">
        <v>139</v>
      </c>
      <c r="C34" s="44" t="s">
        <v>37</v>
      </c>
      <c r="D34" s="47"/>
      <c r="E34" s="46" t="s">
        <v>42</v>
      </c>
      <c r="F34" s="46" t="s">
        <v>57</v>
      </c>
      <c r="G34" s="44">
        <v>6</v>
      </c>
      <c r="H34" s="46">
        <v>0</v>
      </c>
      <c r="I34" s="46">
        <v>0</v>
      </c>
      <c r="J34" s="46">
        <v>0</v>
      </c>
      <c r="K34" s="46">
        <v>0</v>
      </c>
      <c r="L34" s="52">
        <v>0</v>
      </c>
      <c r="M34" s="75">
        <v>0</v>
      </c>
      <c r="N34" s="49">
        <v>6</v>
      </c>
      <c r="O34" s="77">
        <v>0</v>
      </c>
      <c r="P34" s="63">
        <v>0</v>
      </c>
      <c r="Q34" s="29"/>
      <c r="R34" s="29"/>
      <c r="S34" s="29"/>
      <c r="T34" s="29"/>
      <c r="U34" s="48"/>
    </row>
    <row r="35" spans="1:21" ht="27" customHeight="1" x14ac:dyDescent="0.3">
      <c r="A35" s="28">
        <v>25</v>
      </c>
      <c r="B35" s="44" t="s">
        <v>255</v>
      </c>
      <c r="C35" s="44" t="s">
        <v>37</v>
      </c>
      <c r="D35" s="47" t="s">
        <v>256</v>
      </c>
      <c r="E35" s="46" t="s">
        <v>42</v>
      </c>
      <c r="F35" s="46" t="s">
        <v>57</v>
      </c>
      <c r="G35" s="65">
        <v>10</v>
      </c>
      <c r="H35" s="46">
        <v>0</v>
      </c>
      <c r="I35" s="46">
        <v>0</v>
      </c>
      <c r="J35" s="46">
        <v>0</v>
      </c>
      <c r="K35" s="46">
        <v>0</v>
      </c>
      <c r="L35" s="52">
        <v>0</v>
      </c>
      <c r="M35" s="75">
        <v>0</v>
      </c>
      <c r="N35" s="49">
        <v>10</v>
      </c>
      <c r="O35" s="77">
        <v>0</v>
      </c>
      <c r="P35" s="63">
        <v>0</v>
      </c>
      <c r="Q35" s="29"/>
      <c r="R35" s="29"/>
      <c r="S35" s="29"/>
      <c r="T35" s="29"/>
      <c r="U35" s="48"/>
    </row>
    <row r="36" spans="1:21" ht="27" customHeight="1" x14ac:dyDescent="0.3">
      <c r="A36" s="28">
        <v>26</v>
      </c>
      <c r="B36" s="44" t="s">
        <v>140</v>
      </c>
      <c r="C36" s="44" t="s">
        <v>37</v>
      </c>
      <c r="D36" s="47" t="s">
        <v>147</v>
      </c>
      <c r="E36" s="46" t="s">
        <v>103</v>
      </c>
      <c r="F36" s="73" t="s">
        <v>57</v>
      </c>
      <c r="G36" s="44">
        <v>3</v>
      </c>
      <c r="H36" s="46">
        <v>0</v>
      </c>
      <c r="I36" s="46">
        <v>0</v>
      </c>
      <c r="J36" s="46">
        <v>2</v>
      </c>
      <c r="K36" s="46">
        <v>1</v>
      </c>
      <c r="L36" s="52">
        <v>810</v>
      </c>
      <c r="M36" s="75">
        <v>46201</v>
      </c>
      <c r="N36" s="49">
        <v>3</v>
      </c>
      <c r="O36" s="77">
        <v>810</v>
      </c>
      <c r="P36" s="63">
        <v>2430</v>
      </c>
      <c r="Q36" s="29"/>
      <c r="R36" s="29"/>
      <c r="S36" s="29"/>
      <c r="T36" s="29"/>
      <c r="U36" s="48"/>
    </row>
    <row r="37" spans="1:21" ht="27" customHeight="1" x14ac:dyDescent="0.3">
      <c r="A37" s="28">
        <v>27</v>
      </c>
      <c r="B37" s="44" t="s">
        <v>257</v>
      </c>
      <c r="C37" s="44" t="s">
        <v>37</v>
      </c>
      <c r="D37" s="47"/>
      <c r="E37" s="46" t="s">
        <v>103</v>
      </c>
      <c r="F37" s="49" t="s">
        <v>325</v>
      </c>
      <c r="G37" s="42">
        <v>20</v>
      </c>
      <c r="H37" s="46">
        <v>8</v>
      </c>
      <c r="I37" s="46">
        <v>2</v>
      </c>
      <c r="J37" s="46">
        <v>16</v>
      </c>
      <c r="K37" s="46">
        <v>32</v>
      </c>
      <c r="L37" s="52">
        <v>28</v>
      </c>
      <c r="M37" s="75">
        <v>46123</v>
      </c>
      <c r="N37" s="49">
        <v>12</v>
      </c>
      <c r="O37" s="77">
        <v>28</v>
      </c>
      <c r="P37" s="63">
        <v>336</v>
      </c>
      <c r="Q37" s="29"/>
      <c r="R37" s="29"/>
      <c r="S37" s="29"/>
      <c r="T37" s="29"/>
      <c r="U37" s="48"/>
    </row>
    <row r="38" spans="1:21" ht="27" customHeight="1" x14ac:dyDescent="0.3">
      <c r="A38" s="28">
        <v>28</v>
      </c>
      <c r="B38" s="44" t="s">
        <v>258</v>
      </c>
      <c r="C38" s="44" t="s">
        <v>37</v>
      </c>
      <c r="D38" s="47"/>
      <c r="E38" s="46" t="s">
        <v>103</v>
      </c>
      <c r="F38" s="49" t="s">
        <v>259</v>
      </c>
      <c r="G38" s="42">
        <v>5</v>
      </c>
      <c r="H38" s="46">
        <v>0</v>
      </c>
      <c r="I38" s="46">
        <v>0</v>
      </c>
      <c r="J38" s="46">
        <v>0</v>
      </c>
      <c r="K38" s="46">
        <v>5</v>
      </c>
      <c r="L38" s="52">
        <v>150</v>
      </c>
      <c r="M38" s="75">
        <v>45826</v>
      </c>
      <c r="N38" s="49">
        <v>5</v>
      </c>
      <c r="O38" s="77">
        <v>150</v>
      </c>
      <c r="P38" s="63">
        <v>750</v>
      </c>
      <c r="Q38" s="29"/>
      <c r="R38" s="29"/>
      <c r="S38" s="29"/>
      <c r="T38" s="29"/>
      <c r="U38" s="48"/>
    </row>
    <row r="39" spans="1:21" ht="27" customHeight="1" x14ac:dyDescent="0.3">
      <c r="A39" s="28">
        <v>29</v>
      </c>
      <c r="B39" s="44" t="s">
        <v>159</v>
      </c>
      <c r="C39" s="44" t="s">
        <v>37</v>
      </c>
      <c r="D39" s="47" t="s">
        <v>160</v>
      </c>
      <c r="E39" s="46" t="s">
        <v>103</v>
      </c>
      <c r="F39" s="49" t="s">
        <v>46</v>
      </c>
      <c r="G39" s="42">
        <v>12</v>
      </c>
      <c r="H39" s="46">
        <v>1</v>
      </c>
      <c r="I39" s="46">
        <v>2</v>
      </c>
      <c r="J39" s="46">
        <v>14</v>
      </c>
      <c r="K39" s="46">
        <v>5</v>
      </c>
      <c r="L39" s="52">
        <v>28</v>
      </c>
      <c r="M39" s="75">
        <v>46222</v>
      </c>
      <c r="N39" s="49">
        <v>11</v>
      </c>
      <c r="O39" s="77">
        <v>28</v>
      </c>
      <c r="P39" s="63">
        <v>308</v>
      </c>
      <c r="Q39" s="29"/>
      <c r="R39" s="29"/>
      <c r="S39" s="29"/>
      <c r="T39" s="29"/>
      <c r="U39" s="48"/>
    </row>
    <row r="40" spans="1:21" ht="27" customHeight="1" x14ac:dyDescent="0.3">
      <c r="A40" s="28">
        <v>30</v>
      </c>
      <c r="B40" s="44" t="s">
        <v>161</v>
      </c>
      <c r="C40" s="44" t="s">
        <v>37</v>
      </c>
      <c r="D40" s="47" t="s">
        <v>162</v>
      </c>
      <c r="E40" s="46" t="s">
        <v>103</v>
      </c>
      <c r="F40" s="49" t="s">
        <v>46</v>
      </c>
      <c r="G40" s="42">
        <v>5</v>
      </c>
      <c r="H40" s="46">
        <v>4</v>
      </c>
      <c r="I40" s="46">
        <v>0</v>
      </c>
      <c r="J40" s="46">
        <v>1</v>
      </c>
      <c r="K40" s="46">
        <v>1</v>
      </c>
      <c r="L40" s="52">
        <v>750</v>
      </c>
      <c r="M40" s="75">
        <v>46221</v>
      </c>
      <c r="N40" s="49">
        <v>1</v>
      </c>
      <c r="O40" s="77">
        <v>750</v>
      </c>
      <c r="P40" s="63">
        <v>750</v>
      </c>
      <c r="Q40" s="29"/>
      <c r="R40" s="29"/>
      <c r="S40" s="29"/>
      <c r="T40" s="29"/>
      <c r="U40" s="48"/>
    </row>
    <row r="41" spans="1:21" ht="27" customHeight="1" x14ac:dyDescent="0.3">
      <c r="A41" s="28">
        <v>31</v>
      </c>
      <c r="B41" s="44" t="s">
        <v>263</v>
      </c>
      <c r="C41" s="44" t="s">
        <v>37</v>
      </c>
      <c r="D41" s="47" t="s">
        <v>156</v>
      </c>
      <c r="E41" s="46" t="s">
        <v>103</v>
      </c>
      <c r="F41" s="49" t="s">
        <v>46</v>
      </c>
      <c r="G41" s="42">
        <v>12</v>
      </c>
      <c r="H41" s="46">
        <v>0</v>
      </c>
      <c r="I41" s="46">
        <v>1</v>
      </c>
      <c r="J41" s="46">
        <v>5</v>
      </c>
      <c r="K41" s="46">
        <v>8</v>
      </c>
      <c r="L41" s="52">
        <v>45</v>
      </c>
      <c r="M41" s="75">
        <v>46123</v>
      </c>
      <c r="N41" s="49">
        <v>12</v>
      </c>
      <c r="O41" s="77">
        <v>45</v>
      </c>
      <c r="P41" s="63">
        <v>540</v>
      </c>
      <c r="Q41" s="29"/>
      <c r="R41" s="29"/>
      <c r="S41" s="29"/>
      <c r="T41" s="29"/>
      <c r="U41" s="48"/>
    </row>
    <row r="42" spans="1:21" ht="27" customHeight="1" x14ac:dyDescent="0.3">
      <c r="A42" s="28">
        <v>32</v>
      </c>
      <c r="B42" s="44" t="s">
        <v>264</v>
      </c>
      <c r="C42" s="44" t="s">
        <v>37</v>
      </c>
      <c r="D42" s="47" t="s">
        <v>265</v>
      </c>
      <c r="E42" s="46" t="s">
        <v>103</v>
      </c>
      <c r="F42" s="49" t="s">
        <v>46</v>
      </c>
      <c r="G42" s="42">
        <v>10</v>
      </c>
      <c r="H42" s="46">
        <v>9</v>
      </c>
      <c r="I42" s="46">
        <v>2</v>
      </c>
      <c r="J42" s="46">
        <v>16</v>
      </c>
      <c r="K42" s="46">
        <v>6</v>
      </c>
      <c r="L42" s="52">
        <v>18</v>
      </c>
      <c r="M42" s="75">
        <v>46222</v>
      </c>
      <c r="N42" s="49">
        <v>1</v>
      </c>
      <c r="O42" s="77">
        <v>18</v>
      </c>
      <c r="P42" s="63">
        <v>18</v>
      </c>
      <c r="Q42" s="29"/>
      <c r="R42" s="29"/>
      <c r="S42" s="29"/>
      <c r="T42" s="29"/>
      <c r="U42" s="48"/>
    </row>
    <row r="43" spans="1:21" ht="27" customHeight="1" x14ac:dyDescent="0.3">
      <c r="A43" s="28">
        <v>33</v>
      </c>
      <c r="B43" s="44" t="s">
        <v>276</v>
      </c>
      <c r="C43" s="44" t="s">
        <v>208</v>
      </c>
      <c r="D43" s="47"/>
      <c r="E43" s="46" t="s">
        <v>103</v>
      </c>
      <c r="F43" s="49" t="s">
        <v>27</v>
      </c>
      <c r="G43" s="42">
        <v>20</v>
      </c>
      <c r="H43" s="46">
        <v>0</v>
      </c>
      <c r="I43" s="46">
        <v>0</v>
      </c>
      <c r="J43" s="46">
        <v>0</v>
      </c>
      <c r="K43" s="46">
        <v>20</v>
      </c>
      <c r="L43" s="52">
        <v>165</v>
      </c>
      <c r="M43" s="75">
        <v>46191</v>
      </c>
      <c r="N43" s="49">
        <v>20</v>
      </c>
      <c r="O43" s="77">
        <v>165</v>
      </c>
      <c r="P43" s="63">
        <v>3300</v>
      </c>
      <c r="Q43" s="29"/>
      <c r="R43" s="29"/>
      <c r="S43" s="29"/>
      <c r="T43" s="29"/>
      <c r="U43" s="48"/>
    </row>
    <row r="44" spans="1:21" ht="27" customHeight="1" x14ac:dyDescent="0.3">
      <c r="A44" s="28">
        <v>34</v>
      </c>
      <c r="B44" s="44" t="s">
        <v>277</v>
      </c>
      <c r="C44" s="44" t="s">
        <v>278</v>
      </c>
      <c r="D44" s="47"/>
      <c r="E44" s="46" t="s">
        <v>103</v>
      </c>
      <c r="F44" s="46" t="s">
        <v>27</v>
      </c>
      <c r="G44" s="44">
        <v>200</v>
      </c>
      <c r="H44" s="46">
        <v>0</v>
      </c>
      <c r="I44" s="46">
        <v>4</v>
      </c>
      <c r="J44" s="46">
        <v>36</v>
      </c>
      <c r="K44" s="46">
        <v>550</v>
      </c>
      <c r="L44" s="52">
        <v>4.5</v>
      </c>
      <c r="M44" s="75">
        <v>45706</v>
      </c>
      <c r="N44" s="49">
        <v>200</v>
      </c>
      <c r="O44" s="77">
        <v>4.5</v>
      </c>
      <c r="P44" s="63">
        <v>900</v>
      </c>
      <c r="Q44" s="29"/>
      <c r="R44" s="29"/>
      <c r="S44" s="29"/>
      <c r="T44" s="29"/>
      <c r="U44" s="48"/>
    </row>
    <row r="45" spans="1:21" ht="27" customHeight="1" thickBot="1" x14ac:dyDescent="0.35">
      <c r="A45" s="28">
        <v>35</v>
      </c>
      <c r="B45" s="44" t="s">
        <v>334</v>
      </c>
      <c r="C45" s="44" t="s">
        <v>68</v>
      </c>
      <c r="D45" s="47"/>
      <c r="E45" s="46" t="s">
        <v>103</v>
      </c>
      <c r="F45" s="46" t="s">
        <v>49</v>
      </c>
      <c r="G45" s="65">
        <v>2</v>
      </c>
      <c r="H45" s="46">
        <v>0</v>
      </c>
      <c r="I45" s="46">
        <v>0</v>
      </c>
      <c r="J45" s="46">
        <v>0</v>
      </c>
      <c r="K45" s="46">
        <v>0</v>
      </c>
      <c r="L45" s="52">
        <v>0</v>
      </c>
      <c r="M45" s="75">
        <v>0</v>
      </c>
      <c r="N45" s="49">
        <v>2</v>
      </c>
      <c r="O45" s="77">
        <v>0</v>
      </c>
      <c r="P45" s="63">
        <v>0</v>
      </c>
      <c r="Q45" s="29"/>
      <c r="R45" s="29"/>
      <c r="S45" s="29"/>
      <c r="T45" s="29"/>
      <c r="U45" s="48"/>
    </row>
    <row r="46" spans="1:21" s="35" customFormat="1" ht="23.25" customHeight="1" thickBot="1" x14ac:dyDescent="0.4">
      <c r="A46" s="184" t="s">
        <v>35</v>
      </c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27">
        <f>SUM(P11:P45)</f>
        <v>89579.6</v>
      </c>
      <c r="Q46" s="33"/>
      <c r="R46" s="33"/>
      <c r="S46" s="33"/>
      <c r="T46" s="33"/>
      <c r="U46" s="34"/>
    </row>
    <row r="47" spans="1:21" s="2" customFormat="1" ht="22.5" customHeight="1" x14ac:dyDescent="0.35">
      <c r="A47" s="3"/>
      <c r="B47" s="40"/>
      <c r="C47" s="4"/>
      <c r="D47" s="4"/>
      <c r="E47" s="5"/>
      <c r="F47" s="4"/>
      <c r="G47" s="4"/>
      <c r="H47" s="5"/>
      <c r="I47" s="5"/>
      <c r="J47" s="5"/>
      <c r="K47" s="5"/>
      <c r="L47" s="5"/>
      <c r="M47" s="6"/>
      <c r="N47" s="7"/>
      <c r="O47" s="8"/>
      <c r="P47" s="9"/>
      <c r="Q47" s="9"/>
      <c r="R47" s="9"/>
      <c r="S47" s="9"/>
      <c r="T47" s="9"/>
      <c r="U47" s="10"/>
    </row>
    <row r="48" spans="1:21" s="2" customFormat="1" ht="22.5" customHeight="1" x14ac:dyDescent="0.35">
      <c r="A48" s="3"/>
      <c r="B48" s="40"/>
      <c r="C48" s="4"/>
      <c r="D48" s="4"/>
      <c r="E48" s="5"/>
      <c r="F48" s="4"/>
      <c r="G48" s="4"/>
      <c r="H48" s="5"/>
      <c r="I48" s="5"/>
      <c r="J48" s="5"/>
      <c r="K48" s="5"/>
      <c r="L48" s="5"/>
      <c r="M48" s="6"/>
      <c r="N48" s="7"/>
      <c r="O48" s="8"/>
      <c r="P48" s="9"/>
      <c r="Q48" s="9"/>
      <c r="R48" s="9"/>
      <c r="S48" s="9"/>
      <c r="T48" s="9"/>
      <c r="U48" s="10"/>
    </row>
    <row r="49" spans="1:21" s="2" customFormat="1" ht="22.5" customHeight="1" x14ac:dyDescent="0.35">
      <c r="A49" s="3"/>
      <c r="B49" s="40"/>
      <c r="C49" s="4"/>
      <c r="D49" s="4"/>
      <c r="E49" s="5"/>
      <c r="F49" s="4"/>
      <c r="G49" s="4"/>
      <c r="H49" s="5"/>
      <c r="I49" s="5"/>
      <c r="J49" s="5"/>
      <c r="K49" s="5"/>
      <c r="L49" s="5"/>
      <c r="M49" s="6"/>
      <c r="N49" s="7"/>
      <c r="O49" s="8"/>
      <c r="P49" s="9"/>
      <c r="Q49" s="9"/>
      <c r="R49" s="9"/>
      <c r="S49" s="9"/>
      <c r="T49" s="9"/>
      <c r="U49" s="10"/>
    </row>
    <row r="50" spans="1:21" s="2" customFormat="1" ht="22.5" customHeight="1" x14ac:dyDescent="0.35">
      <c r="A50" s="3"/>
      <c r="B50" s="40"/>
      <c r="C50" s="4"/>
      <c r="D50" s="4"/>
      <c r="E50" s="5"/>
      <c r="F50" s="4"/>
      <c r="G50" s="4"/>
      <c r="H50" s="5"/>
      <c r="I50" s="5"/>
      <c r="J50" s="5"/>
      <c r="K50" s="5"/>
      <c r="L50" s="5"/>
      <c r="M50" s="6"/>
      <c r="N50" s="7"/>
      <c r="O50" s="8"/>
      <c r="P50" s="9"/>
      <c r="Q50" s="9"/>
      <c r="R50" s="9"/>
      <c r="S50" s="9"/>
      <c r="T50" s="9"/>
      <c r="U50" s="10"/>
    </row>
    <row r="51" spans="1:21" s="2" customFormat="1" ht="19.5" customHeight="1" x14ac:dyDescent="0.35">
      <c r="A51" s="3"/>
      <c r="B51" s="40"/>
      <c r="C51" s="4"/>
      <c r="D51" s="4"/>
      <c r="E51" s="5"/>
      <c r="F51" s="4"/>
      <c r="G51" s="4"/>
      <c r="H51" s="5"/>
      <c r="I51" s="5"/>
      <c r="J51" s="5"/>
      <c r="K51" s="5"/>
      <c r="L51" s="5"/>
      <c r="M51" s="6"/>
      <c r="N51" s="7"/>
      <c r="O51" s="11"/>
      <c r="P51" s="9"/>
      <c r="Q51" s="9"/>
      <c r="R51" s="9"/>
      <c r="S51" s="9"/>
      <c r="T51" s="9"/>
      <c r="U51" s="10"/>
    </row>
    <row r="52" spans="1:21" s="2" customFormat="1" ht="20.149999999999999" customHeight="1" x14ac:dyDescent="0.25">
      <c r="A52" s="12"/>
      <c r="B52" s="22"/>
      <c r="C52" s="5"/>
      <c r="D52" s="30"/>
      <c r="E52" s="12"/>
      <c r="F52" s="12"/>
      <c r="G52" s="12"/>
      <c r="H52" s="12"/>
      <c r="I52" s="12"/>
      <c r="J52" s="12"/>
      <c r="K52" s="13"/>
      <c r="L52" s="13"/>
      <c r="M52" s="13"/>
      <c r="N52" s="14"/>
      <c r="O52" s="14"/>
      <c r="P52" s="9"/>
      <c r="Q52" s="9"/>
      <c r="R52" s="9"/>
      <c r="S52" s="9"/>
      <c r="T52" s="9"/>
      <c r="U52" s="13"/>
    </row>
    <row r="53" spans="1:21" s="15" customFormat="1" ht="17.5" customHeight="1" x14ac:dyDescent="0.35">
      <c r="B53" s="16" t="s">
        <v>26</v>
      </c>
      <c r="C53" s="36"/>
      <c r="D53" s="31"/>
      <c r="E53" s="22"/>
      <c r="F53"/>
      <c r="G53" s="161" t="s">
        <v>27</v>
      </c>
      <c r="H53" s="161"/>
      <c r="I53" s="161"/>
      <c r="J53"/>
      <c r="K53" s="21"/>
      <c r="L53" s="21"/>
      <c r="M53" s="23"/>
      <c r="N53" s="24"/>
      <c r="O53" s="161" t="s">
        <v>28</v>
      </c>
      <c r="P53" s="161"/>
      <c r="Q53" s="25"/>
      <c r="R53" s="24"/>
      <c r="S53" s="26"/>
      <c r="T53" s="9"/>
      <c r="U53" s="16" t="s">
        <v>29</v>
      </c>
    </row>
    <row r="54" spans="1:21" ht="20.149999999999999" customHeight="1" x14ac:dyDescent="0.3">
      <c r="A54" s="12"/>
      <c r="B54" s="22"/>
      <c r="C54" s="5"/>
      <c r="D54" s="30"/>
      <c r="E54" s="12"/>
      <c r="F54" s="12"/>
      <c r="G54" s="12"/>
      <c r="H54" s="12"/>
      <c r="I54" s="12"/>
      <c r="J54" s="12"/>
      <c r="K54" s="13"/>
      <c r="L54" s="13"/>
      <c r="M54" s="13"/>
      <c r="N54" s="17"/>
      <c r="O54" s="13"/>
      <c r="P54" s="13"/>
      <c r="Q54" s="5"/>
      <c r="R54" s="5"/>
      <c r="S54" s="5"/>
      <c r="T54" s="5"/>
      <c r="U54" s="13"/>
    </row>
    <row r="60" spans="1:21" x14ac:dyDescent="0.35">
      <c r="L60" s="18"/>
    </row>
    <row r="61" spans="1:21" s="20" customFormat="1" ht="15.5" x14ac:dyDescent="0.35">
      <c r="A61" s="1"/>
      <c r="B61" s="41"/>
      <c r="C61" s="23"/>
      <c r="D61" s="32"/>
      <c r="E61" s="1"/>
      <c r="F61" s="1"/>
      <c r="G61" s="1"/>
      <c r="H61" s="1"/>
      <c r="I61" s="1"/>
      <c r="J61" s="1"/>
      <c r="K61" s="1"/>
      <c r="L61" s="1"/>
      <c r="M61" s="1"/>
      <c r="N61" s="19"/>
      <c r="O61" s="1"/>
      <c r="P61" s="1"/>
      <c r="Q61" s="1"/>
      <c r="R61" s="1"/>
      <c r="S61" s="1"/>
      <c r="T61" s="1"/>
      <c r="U61" s="1"/>
    </row>
  </sheetData>
  <mergeCells count="35">
    <mergeCell ref="A46:O46"/>
    <mergeCell ref="G53:I53"/>
    <mergeCell ref="O53:P53"/>
    <mergeCell ref="G9:J9"/>
    <mergeCell ref="K9:M9"/>
    <mergeCell ref="N9:P9"/>
    <mergeCell ref="Q9:R9"/>
    <mergeCell ref="S9:T9"/>
    <mergeCell ref="U9:U10"/>
    <mergeCell ref="A9:A10"/>
    <mergeCell ref="B9:B10"/>
    <mergeCell ref="C9:C10"/>
    <mergeCell ref="D9:D10"/>
    <mergeCell ref="E9:E10"/>
    <mergeCell ref="F9:F10"/>
    <mergeCell ref="A7:D7"/>
    <mergeCell ref="E7:M7"/>
    <mergeCell ref="N7:U7"/>
    <mergeCell ref="A8:D8"/>
    <mergeCell ref="E8:M8"/>
    <mergeCell ref="N8:U8"/>
    <mergeCell ref="A5:D5"/>
    <mergeCell ref="E5:M5"/>
    <mergeCell ref="N5:U5"/>
    <mergeCell ref="A6:D6"/>
    <mergeCell ref="E6:M6"/>
    <mergeCell ref="N6:U6"/>
    <mergeCell ref="A4:D4"/>
    <mergeCell ref="E4:M4"/>
    <mergeCell ref="N4:U4"/>
    <mergeCell ref="A1:U1"/>
    <mergeCell ref="A2:U2"/>
    <mergeCell ref="A3:D3"/>
    <mergeCell ref="E3:M3"/>
    <mergeCell ref="N3:U3"/>
  </mergeCells>
  <conditionalFormatting sqref="B46:B1048576 B1:B10">
    <cfRule type="duplicateValues" dxfId="29" priority="14"/>
  </conditionalFormatting>
  <conditionalFormatting sqref="B11:B45">
    <cfRule type="duplicateValues" dxfId="28" priority="181340"/>
    <cfRule type="duplicateValues" dxfId="27" priority="181341"/>
    <cfRule type="duplicateValues" dxfId="26" priority="181342"/>
  </conditionalFormatting>
  <hyperlinks>
    <hyperlink ref="N8" r:id="rId1" display="suresh@humanaapparels.com" xr:uid="{E787CAF2-DDFE-467C-8C2C-65A7BC056423}"/>
  </hyperlinks>
  <printOptions horizontalCentered="1"/>
  <pageMargins left="0.2" right="0.2" top="0.75" bottom="0.5" header="0.3" footer="0.3"/>
  <pageSetup paperSize="9" scale="51" fitToHeight="0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1A04-F21F-4423-B8AA-937CABD28BA1}">
  <sheetPr>
    <pageSetUpPr fitToPage="1"/>
  </sheetPr>
  <dimension ref="A1:U63"/>
  <sheetViews>
    <sheetView zoomScale="70" zoomScaleNormal="70" zoomScaleSheetLayoutView="80" workbookViewId="0">
      <pane ySplit="10" topLeftCell="A11" activePane="bottomLeft" state="frozen"/>
      <selection activeCell="D19" sqref="D19"/>
      <selection pane="bottomLeft" activeCell="P46" sqref="P46"/>
    </sheetView>
  </sheetViews>
  <sheetFormatPr defaultColWidth="9.1796875" defaultRowHeight="14.5" x14ac:dyDescent="0.35"/>
  <cols>
    <col min="1" max="1" width="5.7265625" style="1" customWidth="1"/>
    <col min="2" max="2" width="40.453125" style="41" customWidth="1"/>
    <col min="3" max="3" width="8.26953125" style="23" customWidth="1"/>
    <col min="4" max="4" width="18.453125" style="32" customWidth="1"/>
    <col min="5" max="5" width="11.7265625" style="1" customWidth="1"/>
    <col min="6" max="6" width="17.1796875" style="1" customWidth="1"/>
    <col min="7" max="7" width="11.54296875" style="1" customWidth="1"/>
    <col min="8" max="8" width="8.7265625" style="1" customWidth="1"/>
    <col min="9" max="9" width="8" style="1" customWidth="1"/>
    <col min="10" max="10" width="14.453125" style="1" customWidth="1"/>
    <col min="11" max="11" width="8.7265625" style="1" customWidth="1"/>
    <col min="12" max="12" width="9.26953125" style="1" customWidth="1"/>
    <col min="13" max="13" width="12.81640625" style="1" customWidth="1"/>
    <col min="14" max="14" width="8.7265625" style="19" customWidth="1"/>
    <col min="15" max="15" width="11" style="1" customWidth="1"/>
    <col min="16" max="16" width="13.7265625" style="1" customWidth="1"/>
    <col min="17" max="17" width="12.81640625" style="1" customWidth="1"/>
    <col min="18" max="18" width="13.7265625" style="1" customWidth="1"/>
    <col min="19" max="20" width="12.26953125" style="1" customWidth="1"/>
    <col min="21" max="21" width="25.26953125" style="1" customWidth="1"/>
    <col min="22" max="16384" width="9.1796875" style="1"/>
  </cols>
  <sheetData>
    <row r="1" spans="1:21" ht="30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2"/>
    </row>
    <row r="2" spans="1:21" ht="17.5" x14ac:dyDescent="0.3">
      <c r="A2" s="143" t="s">
        <v>34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</row>
    <row r="3" spans="1:21" ht="13.5" customHeight="1" x14ac:dyDescent="0.3">
      <c r="A3" s="134" t="s">
        <v>1</v>
      </c>
      <c r="B3" s="135"/>
      <c r="C3" s="135"/>
      <c r="D3" s="136"/>
      <c r="E3" s="146" t="str">
        <f>ALL!E3</f>
        <v>HAPL/Dept./ALL/2026/August/01</v>
      </c>
      <c r="F3" s="135"/>
      <c r="G3" s="135"/>
      <c r="H3" s="135"/>
      <c r="I3" s="135"/>
      <c r="J3" s="135"/>
      <c r="K3" s="135"/>
      <c r="L3" s="135"/>
      <c r="M3" s="135"/>
      <c r="N3" s="146" t="s">
        <v>125</v>
      </c>
      <c r="O3" s="135"/>
      <c r="P3" s="135"/>
      <c r="Q3" s="135"/>
      <c r="R3" s="135"/>
      <c r="S3" s="135"/>
      <c r="T3" s="135"/>
      <c r="U3" s="147"/>
    </row>
    <row r="4" spans="1:21" ht="13.5" customHeight="1" x14ac:dyDescent="0.3">
      <c r="A4" s="134" t="s">
        <v>2</v>
      </c>
      <c r="B4" s="135"/>
      <c r="C4" s="135"/>
      <c r="D4" s="136"/>
      <c r="E4" s="137">
        <f>ALL!E4</f>
        <v>46235</v>
      </c>
      <c r="F4" s="138"/>
      <c r="G4" s="138"/>
      <c r="H4" s="138"/>
      <c r="I4" s="138"/>
      <c r="J4" s="138"/>
      <c r="K4" s="138"/>
      <c r="L4" s="138"/>
      <c r="M4" s="139"/>
      <c r="N4" s="146" t="s">
        <v>127</v>
      </c>
      <c r="O4" s="135"/>
      <c r="P4" s="135"/>
      <c r="Q4" s="135"/>
      <c r="R4" s="135"/>
      <c r="S4" s="135"/>
      <c r="T4" s="135"/>
      <c r="U4" s="147"/>
    </row>
    <row r="5" spans="1:21" ht="13.5" customHeight="1" x14ac:dyDescent="0.3">
      <c r="A5" s="134" t="s">
        <v>3</v>
      </c>
      <c r="B5" s="135"/>
      <c r="C5" s="135"/>
      <c r="D5" s="136"/>
      <c r="E5" s="154" t="str">
        <f>ALL!E5</f>
        <v>Humana Apparels Pvt. Ltd.</v>
      </c>
      <c r="F5" s="155"/>
      <c r="G5" s="155"/>
      <c r="H5" s="155"/>
      <c r="I5" s="155"/>
      <c r="J5" s="155"/>
      <c r="K5" s="155"/>
      <c r="L5" s="155"/>
      <c r="M5" s="178"/>
      <c r="N5" s="146" t="s">
        <v>128</v>
      </c>
      <c r="O5" s="135"/>
      <c r="P5" s="135"/>
      <c r="Q5" s="135"/>
      <c r="R5" s="135"/>
      <c r="S5" s="135"/>
      <c r="T5" s="135"/>
      <c r="U5" s="147"/>
    </row>
    <row r="6" spans="1:21" ht="13.5" customHeight="1" x14ac:dyDescent="0.3">
      <c r="A6" s="134" t="s">
        <v>4</v>
      </c>
      <c r="B6" s="135"/>
      <c r="C6" s="135"/>
      <c r="D6" s="136"/>
      <c r="E6" s="146" t="str">
        <f>ALL!E6</f>
        <v>ALL</v>
      </c>
      <c r="F6" s="135"/>
      <c r="G6" s="135"/>
      <c r="H6" s="135"/>
      <c r="I6" s="135"/>
      <c r="J6" s="135"/>
      <c r="K6" s="135"/>
      <c r="L6" s="135"/>
      <c r="M6" s="136"/>
      <c r="N6" s="148" t="s">
        <v>126</v>
      </c>
      <c r="O6" s="149"/>
      <c r="P6" s="149"/>
      <c r="Q6" s="149"/>
      <c r="R6" s="149"/>
      <c r="S6" s="149"/>
      <c r="T6" s="149"/>
      <c r="U6" s="150"/>
    </row>
    <row r="7" spans="1:21" ht="13.5" customHeight="1" x14ac:dyDescent="0.3">
      <c r="A7" s="134" t="s">
        <v>5</v>
      </c>
      <c r="B7" s="135"/>
      <c r="C7" s="135"/>
      <c r="D7" s="136"/>
      <c r="E7" s="146" t="str">
        <f>ALL!E7</f>
        <v>ALL</v>
      </c>
      <c r="F7" s="135"/>
      <c r="G7" s="135"/>
      <c r="H7" s="135"/>
      <c r="I7" s="135"/>
      <c r="J7" s="135"/>
      <c r="K7" s="135"/>
      <c r="L7" s="135"/>
      <c r="M7" s="136"/>
      <c r="N7" s="148" t="s">
        <v>129</v>
      </c>
      <c r="O7" s="149"/>
      <c r="P7" s="149"/>
      <c r="Q7" s="149"/>
      <c r="R7" s="149"/>
      <c r="S7" s="149"/>
      <c r="T7" s="149"/>
      <c r="U7" s="150"/>
    </row>
    <row r="8" spans="1:21" ht="13.5" customHeight="1" thickBot="1" x14ac:dyDescent="0.35">
      <c r="A8" s="156" t="s">
        <v>6</v>
      </c>
      <c r="B8" s="157"/>
      <c r="C8" s="157"/>
      <c r="D8" s="158"/>
      <c r="E8" s="186" t="str">
        <f>ALL!E8</f>
        <v>amirul@humanaapparels.com</v>
      </c>
      <c r="F8" s="152"/>
      <c r="G8" s="152"/>
      <c r="H8" s="152"/>
      <c r="I8" s="152"/>
      <c r="J8" s="152"/>
      <c r="K8" s="152"/>
      <c r="L8" s="152"/>
      <c r="M8" s="187"/>
      <c r="N8" s="151" t="s">
        <v>69</v>
      </c>
      <c r="O8" s="152"/>
      <c r="P8" s="152"/>
      <c r="Q8" s="152"/>
      <c r="R8" s="152"/>
      <c r="S8" s="152"/>
      <c r="T8" s="152"/>
      <c r="U8" s="153"/>
    </row>
    <row r="9" spans="1:21" ht="29.15" customHeight="1" x14ac:dyDescent="0.3">
      <c r="A9" s="165" t="s">
        <v>7</v>
      </c>
      <c r="B9" s="182" t="s">
        <v>8</v>
      </c>
      <c r="C9" s="171" t="s">
        <v>30</v>
      </c>
      <c r="D9" s="171" t="s">
        <v>9</v>
      </c>
      <c r="E9" s="171" t="s">
        <v>10</v>
      </c>
      <c r="F9" s="171" t="s">
        <v>33</v>
      </c>
      <c r="G9" s="171" t="s">
        <v>11</v>
      </c>
      <c r="H9" s="171"/>
      <c r="I9" s="171"/>
      <c r="J9" s="171"/>
      <c r="K9" s="171" t="s">
        <v>12</v>
      </c>
      <c r="L9" s="171"/>
      <c r="M9" s="171"/>
      <c r="N9" s="171" t="s">
        <v>13</v>
      </c>
      <c r="O9" s="171"/>
      <c r="P9" s="171"/>
      <c r="Q9" s="171" t="s">
        <v>67</v>
      </c>
      <c r="R9" s="171"/>
      <c r="S9" s="171" t="s">
        <v>15</v>
      </c>
      <c r="T9" s="171"/>
      <c r="U9" s="173" t="s">
        <v>16</v>
      </c>
    </row>
    <row r="10" spans="1:21" ht="30" customHeight="1" thickBot="1" x14ac:dyDescent="0.35">
      <c r="A10" s="166"/>
      <c r="B10" s="183"/>
      <c r="C10" s="172"/>
      <c r="D10" s="172"/>
      <c r="E10" s="172"/>
      <c r="F10" s="172"/>
      <c r="G10" s="37" t="s">
        <v>17</v>
      </c>
      <c r="H10" s="37" t="s">
        <v>18</v>
      </c>
      <c r="I10" s="37" t="s">
        <v>19</v>
      </c>
      <c r="J10" s="37" t="s">
        <v>20</v>
      </c>
      <c r="K10" s="38" t="s">
        <v>21</v>
      </c>
      <c r="L10" s="37" t="s">
        <v>31</v>
      </c>
      <c r="M10" s="37" t="s">
        <v>22</v>
      </c>
      <c r="N10" s="39" t="s">
        <v>21</v>
      </c>
      <c r="O10" s="37" t="s">
        <v>23</v>
      </c>
      <c r="P10" s="38" t="s">
        <v>24</v>
      </c>
      <c r="Q10" s="37" t="s">
        <v>32</v>
      </c>
      <c r="R10" s="38" t="s">
        <v>25</v>
      </c>
      <c r="S10" s="37" t="s">
        <v>32</v>
      </c>
      <c r="T10" s="38" t="s">
        <v>25</v>
      </c>
      <c r="U10" s="174"/>
    </row>
    <row r="11" spans="1:21" ht="28" customHeight="1" x14ac:dyDescent="0.3">
      <c r="A11" s="53">
        <v>1</v>
      </c>
      <c r="B11" s="44" t="s">
        <v>211</v>
      </c>
      <c r="C11" s="44" t="s">
        <v>37</v>
      </c>
      <c r="D11" s="47"/>
      <c r="E11" s="46" t="s">
        <v>103</v>
      </c>
      <c r="F11" s="46" t="s">
        <v>328</v>
      </c>
      <c r="G11" s="42">
        <v>48</v>
      </c>
      <c r="H11" s="46">
        <v>36</v>
      </c>
      <c r="I11" s="46">
        <v>7</v>
      </c>
      <c r="J11" s="46">
        <v>61</v>
      </c>
      <c r="K11" s="46">
        <v>150</v>
      </c>
      <c r="L11" s="52">
        <v>46</v>
      </c>
      <c r="M11" s="75">
        <v>46191</v>
      </c>
      <c r="N11" s="49">
        <v>12</v>
      </c>
      <c r="O11" s="77">
        <v>46</v>
      </c>
      <c r="P11" s="63">
        <v>552</v>
      </c>
      <c r="Q11" s="29"/>
      <c r="R11" s="29"/>
      <c r="S11" s="29"/>
      <c r="T11" s="29"/>
      <c r="U11" s="47"/>
    </row>
    <row r="12" spans="1:21" ht="30" customHeight="1" x14ac:dyDescent="0.3">
      <c r="A12" s="53">
        <v>2</v>
      </c>
      <c r="B12" s="44" t="s">
        <v>123</v>
      </c>
      <c r="C12" s="44" t="s">
        <v>41</v>
      </c>
      <c r="D12" s="47"/>
      <c r="E12" s="46" t="s">
        <v>103</v>
      </c>
      <c r="F12" s="49" t="s">
        <v>44</v>
      </c>
      <c r="G12" s="44">
        <v>180</v>
      </c>
      <c r="H12" s="46">
        <v>109</v>
      </c>
      <c r="I12" s="46">
        <v>14</v>
      </c>
      <c r="J12" s="46">
        <v>118</v>
      </c>
      <c r="K12" s="46">
        <v>132</v>
      </c>
      <c r="L12" s="52">
        <v>6.4</v>
      </c>
      <c r="M12" s="75">
        <v>46221</v>
      </c>
      <c r="N12" s="49">
        <v>71</v>
      </c>
      <c r="O12" s="77">
        <v>6.4</v>
      </c>
      <c r="P12" s="63">
        <v>454.40000000000003</v>
      </c>
      <c r="Q12" s="29"/>
      <c r="R12" s="29"/>
      <c r="S12" s="29"/>
      <c r="T12" s="29"/>
      <c r="U12" s="48"/>
    </row>
    <row r="13" spans="1:21" ht="30" customHeight="1" x14ac:dyDescent="0.3">
      <c r="A13" s="53">
        <v>3</v>
      </c>
      <c r="B13" s="44" t="s">
        <v>47</v>
      </c>
      <c r="C13" s="44" t="s">
        <v>37</v>
      </c>
      <c r="D13" s="47"/>
      <c r="E13" s="46" t="s">
        <v>103</v>
      </c>
      <c r="F13" s="49" t="s">
        <v>311</v>
      </c>
      <c r="G13" s="44">
        <v>144</v>
      </c>
      <c r="H13" s="46">
        <v>74</v>
      </c>
      <c r="I13" s="46">
        <v>25</v>
      </c>
      <c r="J13" s="46">
        <v>213</v>
      </c>
      <c r="K13" s="46">
        <v>161</v>
      </c>
      <c r="L13" s="52">
        <v>13.8</v>
      </c>
      <c r="M13" s="75">
        <v>46222</v>
      </c>
      <c r="N13" s="49">
        <v>70</v>
      </c>
      <c r="O13" s="77">
        <v>13.8</v>
      </c>
      <c r="P13" s="63">
        <v>966</v>
      </c>
      <c r="Q13" s="29"/>
      <c r="R13" s="29"/>
      <c r="S13" s="29"/>
      <c r="T13" s="29"/>
      <c r="U13" s="48"/>
    </row>
    <row r="14" spans="1:21" ht="30" customHeight="1" x14ac:dyDescent="0.3">
      <c r="A14" s="53">
        <v>4</v>
      </c>
      <c r="B14" s="51" t="s">
        <v>93</v>
      </c>
      <c r="C14" s="44" t="s">
        <v>37</v>
      </c>
      <c r="D14" s="47"/>
      <c r="E14" s="46" t="s">
        <v>103</v>
      </c>
      <c r="F14" s="46" t="s">
        <v>151</v>
      </c>
      <c r="G14" s="46">
        <v>560</v>
      </c>
      <c r="H14" s="46">
        <v>372</v>
      </c>
      <c r="I14" s="46">
        <v>34</v>
      </c>
      <c r="J14" s="46">
        <v>293</v>
      </c>
      <c r="K14" s="46">
        <v>336</v>
      </c>
      <c r="L14" s="52">
        <v>35.799999999999997</v>
      </c>
      <c r="M14" s="75">
        <v>46221</v>
      </c>
      <c r="N14" s="49">
        <v>188</v>
      </c>
      <c r="O14" s="77">
        <v>35.799999999999997</v>
      </c>
      <c r="P14" s="63">
        <v>6730.4</v>
      </c>
      <c r="Q14" s="29"/>
      <c r="R14" s="29"/>
      <c r="S14" s="29"/>
      <c r="T14" s="29"/>
      <c r="U14" s="48"/>
    </row>
    <row r="15" spans="1:21" ht="30" customHeight="1" x14ac:dyDescent="0.3">
      <c r="A15" s="53">
        <v>5</v>
      </c>
      <c r="B15" s="44" t="s">
        <v>215</v>
      </c>
      <c r="C15" s="44" t="s">
        <v>37</v>
      </c>
      <c r="D15" s="46"/>
      <c r="E15" s="46" t="s">
        <v>103</v>
      </c>
      <c r="F15" s="46" t="s">
        <v>311</v>
      </c>
      <c r="G15" s="44">
        <v>1300</v>
      </c>
      <c r="H15" s="46">
        <v>170</v>
      </c>
      <c r="I15" s="46">
        <v>115</v>
      </c>
      <c r="J15" s="46">
        <v>1000</v>
      </c>
      <c r="K15" s="46">
        <v>1400</v>
      </c>
      <c r="L15" s="52">
        <v>15</v>
      </c>
      <c r="M15" s="75">
        <v>46193</v>
      </c>
      <c r="N15" s="49">
        <v>1130</v>
      </c>
      <c r="O15" s="77">
        <v>15</v>
      </c>
      <c r="P15" s="63">
        <v>16950</v>
      </c>
      <c r="Q15" s="29"/>
      <c r="R15" s="29"/>
      <c r="S15" s="29"/>
      <c r="T15" s="29"/>
      <c r="U15" s="48"/>
    </row>
    <row r="16" spans="1:21" ht="30" customHeight="1" x14ac:dyDescent="0.3">
      <c r="A16" s="53">
        <v>6</v>
      </c>
      <c r="B16" s="46" t="s">
        <v>216</v>
      </c>
      <c r="C16" s="44" t="s">
        <v>37</v>
      </c>
      <c r="D16" s="47"/>
      <c r="E16" s="46" t="s">
        <v>103</v>
      </c>
      <c r="F16" s="73" t="s">
        <v>44</v>
      </c>
      <c r="G16" s="44">
        <v>60</v>
      </c>
      <c r="H16" s="46">
        <v>36</v>
      </c>
      <c r="I16" s="46">
        <v>1</v>
      </c>
      <c r="J16" s="46">
        <v>12</v>
      </c>
      <c r="K16" s="46">
        <v>9</v>
      </c>
      <c r="L16" s="52">
        <v>600</v>
      </c>
      <c r="M16" s="75">
        <v>46153</v>
      </c>
      <c r="N16" s="49">
        <v>24</v>
      </c>
      <c r="O16" s="77">
        <v>600</v>
      </c>
      <c r="P16" s="63">
        <v>14400</v>
      </c>
      <c r="Q16" s="29"/>
      <c r="R16" s="29"/>
      <c r="S16" s="29"/>
      <c r="T16" s="29"/>
      <c r="U16" s="48"/>
    </row>
    <row r="17" spans="1:21" ht="30" customHeight="1" x14ac:dyDescent="0.3">
      <c r="A17" s="53">
        <v>7</v>
      </c>
      <c r="B17" s="46" t="s">
        <v>217</v>
      </c>
      <c r="C17" s="44" t="s">
        <v>37</v>
      </c>
      <c r="D17" s="47"/>
      <c r="E17" s="46" t="s">
        <v>103</v>
      </c>
      <c r="F17" s="73" t="s">
        <v>44</v>
      </c>
      <c r="G17" s="44">
        <v>5000</v>
      </c>
      <c r="H17" s="46">
        <v>0</v>
      </c>
      <c r="I17" s="46">
        <v>0</v>
      </c>
      <c r="J17" s="46">
        <v>0</v>
      </c>
      <c r="K17" s="46">
        <v>0</v>
      </c>
      <c r="L17" s="52">
        <v>0</v>
      </c>
      <c r="M17" s="75">
        <v>0</v>
      </c>
      <c r="N17" s="49">
        <v>5000</v>
      </c>
      <c r="O17" s="77">
        <v>0</v>
      </c>
      <c r="P17" s="63">
        <v>0</v>
      </c>
      <c r="Q17" s="29"/>
      <c r="R17" s="29"/>
      <c r="S17" s="29"/>
      <c r="T17" s="29"/>
      <c r="U17" s="48"/>
    </row>
    <row r="18" spans="1:21" ht="30" customHeight="1" x14ac:dyDescent="0.3">
      <c r="A18" s="53">
        <v>8</v>
      </c>
      <c r="B18" s="46" t="s">
        <v>218</v>
      </c>
      <c r="C18" s="44" t="s">
        <v>37</v>
      </c>
      <c r="D18" s="47"/>
      <c r="E18" s="46" t="s">
        <v>103</v>
      </c>
      <c r="F18" s="73" t="s">
        <v>44</v>
      </c>
      <c r="G18" s="44">
        <v>1200</v>
      </c>
      <c r="H18" s="46">
        <v>0</v>
      </c>
      <c r="I18" s="46">
        <v>0</v>
      </c>
      <c r="J18" s="46">
        <v>0</v>
      </c>
      <c r="K18" s="46">
        <v>0</v>
      </c>
      <c r="L18" s="52">
        <v>0</v>
      </c>
      <c r="M18" s="75">
        <v>0</v>
      </c>
      <c r="N18" s="49">
        <v>1200</v>
      </c>
      <c r="O18" s="77">
        <v>0</v>
      </c>
      <c r="P18" s="63">
        <v>0</v>
      </c>
      <c r="Q18" s="29"/>
      <c r="R18" s="29"/>
      <c r="S18" s="29"/>
      <c r="T18" s="29"/>
      <c r="U18" s="48"/>
    </row>
    <row r="19" spans="1:21" ht="30" customHeight="1" x14ac:dyDescent="0.3">
      <c r="A19" s="53">
        <v>9</v>
      </c>
      <c r="B19" s="44" t="s">
        <v>191</v>
      </c>
      <c r="C19" s="44" t="s">
        <v>37</v>
      </c>
      <c r="D19" s="47"/>
      <c r="E19" s="46" t="s">
        <v>103</v>
      </c>
      <c r="F19" s="46" t="s">
        <v>44</v>
      </c>
      <c r="G19" s="44">
        <v>2</v>
      </c>
      <c r="H19" s="46">
        <v>0</v>
      </c>
      <c r="I19" s="46">
        <v>0</v>
      </c>
      <c r="J19" s="46">
        <v>0</v>
      </c>
      <c r="K19" s="46">
        <v>0</v>
      </c>
      <c r="L19" s="52">
        <v>0</v>
      </c>
      <c r="M19" s="75">
        <v>0</v>
      </c>
      <c r="N19" s="49">
        <v>2</v>
      </c>
      <c r="O19" s="77">
        <v>0</v>
      </c>
      <c r="P19" s="63">
        <v>0</v>
      </c>
      <c r="Q19" s="29"/>
      <c r="R19" s="29"/>
      <c r="S19" s="29"/>
      <c r="T19" s="29"/>
      <c r="U19" s="48"/>
    </row>
    <row r="20" spans="1:21" ht="30" customHeight="1" x14ac:dyDescent="0.3">
      <c r="A20" s="53">
        <v>10</v>
      </c>
      <c r="B20" s="44" t="s">
        <v>219</v>
      </c>
      <c r="C20" s="44" t="s">
        <v>37</v>
      </c>
      <c r="D20" s="47"/>
      <c r="E20" s="46" t="s">
        <v>103</v>
      </c>
      <c r="F20" s="46" t="s">
        <v>44</v>
      </c>
      <c r="G20" s="44">
        <v>2</v>
      </c>
      <c r="H20" s="46">
        <v>0</v>
      </c>
      <c r="I20" s="46">
        <v>0</v>
      </c>
      <c r="J20" s="46">
        <v>0</v>
      </c>
      <c r="K20" s="46">
        <v>0</v>
      </c>
      <c r="L20" s="52">
        <v>0</v>
      </c>
      <c r="M20" s="75">
        <v>0</v>
      </c>
      <c r="N20" s="49">
        <v>2</v>
      </c>
      <c r="O20" s="77">
        <v>0</v>
      </c>
      <c r="P20" s="63">
        <v>0</v>
      </c>
      <c r="Q20" s="29"/>
      <c r="R20" s="29"/>
      <c r="S20" s="29"/>
      <c r="T20" s="29"/>
      <c r="U20" s="48"/>
    </row>
    <row r="21" spans="1:21" ht="30" customHeight="1" x14ac:dyDescent="0.3">
      <c r="A21" s="53">
        <v>11</v>
      </c>
      <c r="B21" s="44" t="s">
        <v>189</v>
      </c>
      <c r="C21" s="44" t="s">
        <v>43</v>
      </c>
      <c r="D21" s="47"/>
      <c r="E21" s="46" t="s">
        <v>103</v>
      </c>
      <c r="F21" s="46" t="s">
        <v>44</v>
      </c>
      <c r="G21" s="46">
        <v>20</v>
      </c>
      <c r="H21" s="46">
        <v>0</v>
      </c>
      <c r="I21" s="46">
        <v>0</v>
      </c>
      <c r="J21" s="46">
        <v>0</v>
      </c>
      <c r="K21" s="46">
        <v>2.2999999999999998</v>
      </c>
      <c r="L21" s="52">
        <v>478.26</v>
      </c>
      <c r="M21" s="75">
        <v>46193</v>
      </c>
      <c r="N21" s="49">
        <v>20</v>
      </c>
      <c r="O21" s="77">
        <v>478.26</v>
      </c>
      <c r="P21" s="63">
        <v>9565.2000000000007</v>
      </c>
      <c r="Q21" s="29"/>
      <c r="R21" s="29"/>
      <c r="S21" s="29"/>
      <c r="T21" s="29"/>
      <c r="U21" s="48"/>
    </row>
    <row r="22" spans="1:21" ht="30" customHeight="1" x14ac:dyDescent="0.3">
      <c r="A22" s="53">
        <v>12</v>
      </c>
      <c r="B22" s="44" t="s">
        <v>190</v>
      </c>
      <c r="C22" s="44" t="s">
        <v>43</v>
      </c>
      <c r="D22" s="47"/>
      <c r="E22" s="46" t="s">
        <v>103</v>
      </c>
      <c r="F22" s="49" t="s">
        <v>44</v>
      </c>
      <c r="G22" s="44">
        <v>20</v>
      </c>
      <c r="H22" s="46">
        <v>0</v>
      </c>
      <c r="I22" s="46">
        <v>0</v>
      </c>
      <c r="J22" s="46">
        <v>0</v>
      </c>
      <c r="K22" s="46">
        <v>33.75</v>
      </c>
      <c r="L22" s="52">
        <v>355.55</v>
      </c>
      <c r="M22" s="75">
        <v>46163</v>
      </c>
      <c r="N22" s="49">
        <v>20</v>
      </c>
      <c r="O22" s="77">
        <v>355.55</v>
      </c>
      <c r="P22" s="63">
        <v>7111</v>
      </c>
      <c r="Q22" s="29"/>
      <c r="R22" s="29"/>
      <c r="S22" s="29"/>
      <c r="T22" s="29"/>
      <c r="U22" s="48"/>
    </row>
    <row r="23" spans="1:21" ht="30" customHeight="1" x14ac:dyDescent="0.3">
      <c r="A23" s="53">
        <v>13</v>
      </c>
      <c r="B23" s="51" t="s">
        <v>220</v>
      </c>
      <c r="C23" s="44" t="s">
        <v>43</v>
      </c>
      <c r="D23" s="47"/>
      <c r="E23" s="46" t="s">
        <v>103</v>
      </c>
      <c r="F23" s="46" t="s">
        <v>235</v>
      </c>
      <c r="G23" s="46">
        <v>1500</v>
      </c>
      <c r="H23" s="46">
        <v>856.7</v>
      </c>
      <c r="I23" s="46">
        <v>33</v>
      </c>
      <c r="J23" s="46">
        <v>288.5</v>
      </c>
      <c r="K23" s="46">
        <v>522.29999999999995</v>
      </c>
      <c r="L23" s="52">
        <v>100</v>
      </c>
      <c r="M23" s="75">
        <v>46198</v>
      </c>
      <c r="N23" s="49">
        <v>643.29999999999995</v>
      </c>
      <c r="O23" s="77">
        <v>100</v>
      </c>
      <c r="P23" s="63">
        <v>64329.999999999993</v>
      </c>
      <c r="Q23" s="29"/>
      <c r="R23" s="29"/>
      <c r="S23" s="29"/>
      <c r="T23" s="29"/>
      <c r="U23" s="48"/>
    </row>
    <row r="24" spans="1:21" ht="30" customHeight="1" x14ac:dyDescent="0.3">
      <c r="A24" s="53">
        <v>14</v>
      </c>
      <c r="B24" s="44" t="s">
        <v>221</v>
      </c>
      <c r="C24" s="44" t="s">
        <v>43</v>
      </c>
      <c r="D24" s="46"/>
      <c r="E24" s="46" t="s">
        <v>103</v>
      </c>
      <c r="F24" s="46" t="s">
        <v>330</v>
      </c>
      <c r="G24" s="44">
        <v>2000</v>
      </c>
      <c r="H24" s="46">
        <v>804.09999999999991</v>
      </c>
      <c r="I24" s="46">
        <v>73</v>
      </c>
      <c r="J24" s="46">
        <v>635</v>
      </c>
      <c r="K24" s="46">
        <v>904.7</v>
      </c>
      <c r="L24" s="52">
        <v>68</v>
      </c>
      <c r="M24" s="75">
        <v>46198</v>
      </c>
      <c r="N24" s="49">
        <v>1195.9000000000001</v>
      </c>
      <c r="O24" s="77">
        <v>68</v>
      </c>
      <c r="P24" s="63">
        <v>81321.200000000012</v>
      </c>
      <c r="Q24" s="29"/>
      <c r="R24" s="29"/>
      <c r="S24" s="29"/>
      <c r="T24" s="29"/>
      <c r="U24" s="48"/>
    </row>
    <row r="25" spans="1:21" ht="30" customHeight="1" x14ac:dyDescent="0.3">
      <c r="A25" s="53">
        <v>15</v>
      </c>
      <c r="B25" s="46" t="s">
        <v>105</v>
      </c>
      <c r="C25" s="44" t="s">
        <v>37</v>
      </c>
      <c r="D25" s="47">
        <v>570</v>
      </c>
      <c r="E25" s="46" t="s">
        <v>103</v>
      </c>
      <c r="F25" s="46" t="s">
        <v>235</v>
      </c>
      <c r="G25" s="44">
        <v>10</v>
      </c>
      <c r="H25" s="46">
        <v>0</v>
      </c>
      <c r="I25" s="46">
        <v>2</v>
      </c>
      <c r="J25" s="46">
        <v>14</v>
      </c>
      <c r="K25" s="46">
        <v>14</v>
      </c>
      <c r="L25" s="52">
        <v>25</v>
      </c>
      <c r="M25" s="75">
        <v>46222</v>
      </c>
      <c r="N25" s="49">
        <v>10</v>
      </c>
      <c r="O25" s="77">
        <v>25</v>
      </c>
      <c r="P25" s="63">
        <v>250</v>
      </c>
      <c r="Q25" s="29"/>
      <c r="R25" s="29"/>
      <c r="S25" s="29"/>
      <c r="T25" s="29"/>
      <c r="U25" s="48"/>
    </row>
    <row r="26" spans="1:21" ht="30" customHeight="1" x14ac:dyDescent="0.3">
      <c r="A26" s="53">
        <v>16</v>
      </c>
      <c r="B26" s="46" t="s">
        <v>94</v>
      </c>
      <c r="C26" s="44" t="s">
        <v>37</v>
      </c>
      <c r="D26" s="47"/>
      <c r="E26" s="46" t="s">
        <v>103</v>
      </c>
      <c r="F26" s="46" t="s">
        <v>151</v>
      </c>
      <c r="G26" s="44">
        <v>560</v>
      </c>
      <c r="H26" s="46">
        <v>292</v>
      </c>
      <c r="I26" s="46">
        <v>48</v>
      </c>
      <c r="J26" s="46">
        <v>417</v>
      </c>
      <c r="K26" s="46">
        <v>260</v>
      </c>
      <c r="L26" s="52">
        <v>12</v>
      </c>
      <c r="M26" s="75">
        <v>46221</v>
      </c>
      <c r="N26" s="49">
        <v>268</v>
      </c>
      <c r="O26" s="77">
        <v>12</v>
      </c>
      <c r="P26" s="63">
        <v>3216</v>
      </c>
      <c r="Q26" s="29"/>
      <c r="R26" s="29"/>
      <c r="S26" s="29"/>
      <c r="T26" s="29"/>
      <c r="U26" s="48"/>
    </row>
    <row r="27" spans="1:21" ht="30" customHeight="1" x14ac:dyDescent="0.3">
      <c r="A27" s="53">
        <v>17</v>
      </c>
      <c r="B27" s="46" t="s">
        <v>138</v>
      </c>
      <c r="C27" s="44" t="s">
        <v>40</v>
      </c>
      <c r="D27" s="47" t="s">
        <v>253</v>
      </c>
      <c r="E27" s="46" t="s">
        <v>103</v>
      </c>
      <c r="F27" s="46" t="s">
        <v>57</v>
      </c>
      <c r="G27" s="44">
        <v>30</v>
      </c>
      <c r="H27" s="46">
        <v>5</v>
      </c>
      <c r="I27" s="46">
        <v>1</v>
      </c>
      <c r="J27" s="46">
        <v>5</v>
      </c>
      <c r="K27" s="46">
        <v>10</v>
      </c>
      <c r="L27" s="52">
        <v>595</v>
      </c>
      <c r="M27" s="75">
        <v>46224</v>
      </c>
      <c r="N27" s="49">
        <v>25</v>
      </c>
      <c r="O27" s="77">
        <v>595</v>
      </c>
      <c r="P27" s="63">
        <v>14875</v>
      </c>
      <c r="Q27" s="29"/>
      <c r="R27" s="29"/>
      <c r="S27" s="29"/>
      <c r="T27" s="29"/>
      <c r="U27" s="48"/>
    </row>
    <row r="28" spans="1:21" ht="30" customHeight="1" x14ac:dyDescent="0.3">
      <c r="A28" s="53">
        <v>18</v>
      </c>
      <c r="B28" s="44" t="s">
        <v>254</v>
      </c>
      <c r="C28" s="44" t="s">
        <v>37</v>
      </c>
      <c r="D28" s="47"/>
      <c r="E28" s="46" t="s">
        <v>103</v>
      </c>
      <c r="F28" s="46" t="s">
        <v>57</v>
      </c>
      <c r="G28" s="44">
        <v>6</v>
      </c>
      <c r="H28" s="46">
        <v>0</v>
      </c>
      <c r="I28" s="46">
        <v>0</v>
      </c>
      <c r="J28" s="46">
        <v>2</v>
      </c>
      <c r="K28" s="46">
        <v>2</v>
      </c>
      <c r="L28" s="52">
        <v>180</v>
      </c>
      <c r="M28" s="75">
        <v>46190</v>
      </c>
      <c r="N28" s="49">
        <v>6</v>
      </c>
      <c r="O28" s="77">
        <v>180</v>
      </c>
      <c r="P28" s="63">
        <v>1080</v>
      </c>
      <c r="Q28" s="29"/>
      <c r="R28" s="29"/>
      <c r="S28" s="29"/>
      <c r="T28" s="29"/>
      <c r="U28" s="48"/>
    </row>
    <row r="29" spans="1:21" ht="30" customHeight="1" x14ac:dyDescent="0.3">
      <c r="A29" s="53">
        <v>19</v>
      </c>
      <c r="B29" s="44" t="s">
        <v>62</v>
      </c>
      <c r="C29" s="44" t="s">
        <v>43</v>
      </c>
      <c r="D29" s="47" t="s">
        <v>64</v>
      </c>
      <c r="E29" s="46" t="s">
        <v>103</v>
      </c>
      <c r="F29" s="46" t="s">
        <v>46</v>
      </c>
      <c r="G29" s="44">
        <v>500</v>
      </c>
      <c r="H29" s="46">
        <v>418.1</v>
      </c>
      <c r="I29" s="46">
        <v>35</v>
      </c>
      <c r="J29" s="46">
        <v>300</v>
      </c>
      <c r="K29" s="46">
        <v>418.1</v>
      </c>
      <c r="L29" s="52">
        <v>220</v>
      </c>
      <c r="M29" s="75">
        <v>46228</v>
      </c>
      <c r="N29" s="49">
        <v>81.899999999999977</v>
      </c>
      <c r="O29" s="77">
        <v>220</v>
      </c>
      <c r="P29" s="63">
        <v>18017.999999999996</v>
      </c>
      <c r="Q29" s="29"/>
      <c r="R29" s="29"/>
      <c r="S29" s="29"/>
      <c r="T29" s="29"/>
      <c r="U29" s="48"/>
    </row>
    <row r="30" spans="1:21" ht="30" customHeight="1" x14ac:dyDescent="0.3">
      <c r="A30" s="53">
        <v>20</v>
      </c>
      <c r="B30" s="44" t="s">
        <v>56</v>
      </c>
      <c r="C30" s="44" t="s">
        <v>43</v>
      </c>
      <c r="D30" s="47" t="s">
        <v>63</v>
      </c>
      <c r="E30" s="46" t="s">
        <v>103</v>
      </c>
      <c r="F30" s="46" t="s">
        <v>46</v>
      </c>
      <c r="G30" s="46">
        <v>1000</v>
      </c>
      <c r="H30" s="46">
        <v>591</v>
      </c>
      <c r="I30" s="46">
        <v>71</v>
      </c>
      <c r="J30" s="46">
        <v>614</v>
      </c>
      <c r="K30" s="46">
        <v>419</v>
      </c>
      <c r="L30" s="52">
        <v>68</v>
      </c>
      <c r="M30" s="75">
        <v>46221</v>
      </c>
      <c r="N30" s="49">
        <v>409</v>
      </c>
      <c r="O30" s="77">
        <v>68</v>
      </c>
      <c r="P30" s="63">
        <v>27812</v>
      </c>
      <c r="Q30" s="29"/>
      <c r="R30" s="29"/>
      <c r="S30" s="29"/>
      <c r="T30" s="29"/>
      <c r="U30" s="48"/>
    </row>
    <row r="31" spans="1:21" ht="30" customHeight="1" x14ac:dyDescent="0.3">
      <c r="A31" s="53">
        <v>21</v>
      </c>
      <c r="B31" s="44" t="s">
        <v>48</v>
      </c>
      <c r="C31" s="44" t="s">
        <v>45</v>
      </c>
      <c r="D31" s="47"/>
      <c r="E31" s="46" t="s">
        <v>103</v>
      </c>
      <c r="F31" s="49" t="s">
        <v>46</v>
      </c>
      <c r="G31" s="44">
        <v>10</v>
      </c>
      <c r="H31" s="46">
        <v>0</v>
      </c>
      <c r="I31" s="46">
        <v>1</v>
      </c>
      <c r="J31" s="46">
        <v>10</v>
      </c>
      <c r="K31" s="46">
        <v>5</v>
      </c>
      <c r="L31" s="52">
        <v>170</v>
      </c>
      <c r="M31" s="75">
        <v>46222</v>
      </c>
      <c r="N31" s="49">
        <v>10</v>
      </c>
      <c r="O31" s="77">
        <v>170</v>
      </c>
      <c r="P31" s="63">
        <v>1700</v>
      </c>
      <c r="Q31" s="29"/>
      <c r="R31" s="29"/>
      <c r="S31" s="29"/>
      <c r="T31" s="29"/>
      <c r="U31" s="48"/>
    </row>
    <row r="32" spans="1:21" ht="30" customHeight="1" x14ac:dyDescent="0.3">
      <c r="A32" s="53">
        <v>22</v>
      </c>
      <c r="B32" s="51" t="s">
        <v>107</v>
      </c>
      <c r="C32" s="44" t="s">
        <v>37</v>
      </c>
      <c r="D32" s="47" t="s">
        <v>332</v>
      </c>
      <c r="E32" s="46" t="s">
        <v>103</v>
      </c>
      <c r="F32" s="46" t="s">
        <v>46</v>
      </c>
      <c r="G32" s="46">
        <v>1000</v>
      </c>
      <c r="H32" s="46">
        <v>667</v>
      </c>
      <c r="I32" s="46">
        <v>58</v>
      </c>
      <c r="J32" s="46">
        <v>500</v>
      </c>
      <c r="K32" s="46">
        <v>600</v>
      </c>
      <c r="L32" s="52">
        <v>2.5</v>
      </c>
      <c r="M32" s="75">
        <v>46222</v>
      </c>
      <c r="N32" s="49">
        <v>333</v>
      </c>
      <c r="O32" s="77">
        <v>2.5</v>
      </c>
      <c r="P32" s="63">
        <v>832.5</v>
      </c>
      <c r="Q32" s="29"/>
      <c r="R32" s="29"/>
      <c r="S32" s="29"/>
      <c r="T32" s="29"/>
      <c r="U32" s="48"/>
    </row>
    <row r="33" spans="1:21" ht="30" customHeight="1" x14ac:dyDescent="0.3">
      <c r="A33" s="53">
        <v>23</v>
      </c>
      <c r="B33" s="44" t="s">
        <v>95</v>
      </c>
      <c r="C33" s="44" t="s">
        <v>37</v>
      </c>
      <c r="D33" s="46" t="s">
        <v>148</v>
      </c>
      <c r="E33" s="46" t="s">
        <v>103</v>
      </c>
      <c r="F33" s="46" t="s">
        <v>46</v>
      </c>
      <c r="G33" s="44">
        <v>400</v>
      </c>
      <c r="H33" s="46">
        <v>272</v>
      </c>
      <c r="I33" s="46">
        <v>55</v>
      </c>
      <c r="J33" s="46">
        <v>474</v>
      </c>
      <c r="K33" s="46">
        <v>591</v>
      </c>
      <c r="L33" s="52">
        <v>27</v>
      </c>
      <c r="M33" s="75">
        <v>46221</v>
      </c>
      <c r="N33" s="49">
        <v>128</v>
      </c>
      <c r="O33" s="77">
        <v>27</v>
      </c>
      <c r="P33" s="63">
        <v>3456</v>
      </c>
      <c r="Q33" s="29"/>
      <c r="R33" s="29"/>
      <c r="S33" s="29"/>
      <c r="T33" s="29"/>
      <c r="U33" s="48"/>
    </row>
    <row r="34" spans="1:21" ht="30" customHeight="1" x14ac:dyDescent="0.3">
      <c r="A34" s="53">
        <v>24</v>
      </c>
      <c r="B34" s="46" t="s">
        <v>157</v>
      </c>
      <c r="C34" s="44" t="s">
        <v>37</v>
      </c>
      <c r="D34" s="47" t="s">
        <v>158</v>
      </c>
      <c r="E34" s="46" t="s">
        <v>103</v>
      </c>
      <c r="F34" s="46" t="s">
        <v>46</v>
      </c>
      <c r="G34" s="44">
        <v>60</v>
      </c>
      <c r="H34" s="46">
        <v>24</v>
      </c>
      <c r="I34" s="46">
        <v>2</v>
      </c>
      <c r="J34" s="46">
        <v>13</v>
      </c>
      <c r="K34" s="46">
        <v>24</v>
      </c>
      <c r="L34" s="52">
        <v>42</v>
      </c>
      <c r="M34" s="75">
        <v>46167</v>
      </c>
      <c r="N34" s="49">
        <v>36</v>
      </c>
      <c r="O34" s="77">
        <v>42</v>
      </c>
      <c r="P34" s="63">
        <v>1512</v>
      </c>
      <c r="Q34" s="29"/>
      <c r="R34" s="29"/>
      <c r="S34" s="29"/>
      <c r="T34" s="29"/>
      <c r="U34" s="48"/>
    </row>
    <row r="35" spans="1:21" ht="30" customHeight="1" x14ac:dyDescent="0.3">
      <c r="A35" s="53">
        <v>25</v>
      </c>
      <c r="B35" s="46" t="s">
        <v>260</v>
      </c>
      <c r="C35" s="44" t="s">
        <v>37</v>
      </c>
      <c r="D35" s="47"/>
      <c r="E35" s="46" t="s">
        <v>103</v>
      </c>
      <c r="F35" s="46" t="s">
        <v>46</v>
      </c>
      <c r="G35" s="44">
        <v>50</v>
      </c>
      <c r="H35" s="46">
        <v>0</v>
      </c>
      <c r="I35" s="46">
        <v>5</v>
      </c>
      <c r="J35" s="46">
        <v>46</v>
      </c>
      <c r="K35" s="46">
        <v>51</v>
      </c>
      <c r="L35" s="52">
        <v>6</v>
      </c>
      <c r="M35" s="75">
        <v>46193</v>
      </c>
      <c r="N35" s="49">
        <v>50</v>
      </c>
      <c r="O35" s="77">
        <v>6</v>
      </c>
      <c r="P35" s="63">
        <v>300</v>
      </c>
      <c r="Q35" s="29"/>
      <c r="R35" s="29"/>
      <c r="S35" s="29"/>
      <c r="T35" s="29"/>
      <c r="U35" s="48"/>
    </row>
    <row r="36" spans="1:21" ht="30" customHeight="1" x14ac:dyDescent="0.3">
      <c r="A36" s="53">
        <v>26</v>
      </c>
      <c r="B36" s="46" t="s">
        <v>261</v>
      </c>
      <c r="C36" s="44" t="s">
        <v>37</v>
      </c>
      <c r="D36" s="47" t="s">
        <v>262</v>
      </c>
      <c r="E36" s="46" t="s">
        <v>103</v>
      </c>
      <c r="F36" s="46" t="s">
        <v>46</v>
      </c>
      <c r="G36" s="44">
        <v>500</v>
      </c>
      <c r="H36" s="46">
        <v>100</v>
      </c>
      <c r="I36" s="46">
        <v>30</v>
      </c>
      <c r="J36" s="46">
        <v>260</v>
      </c>
      <c r="K36" s="46">
        <v>160</v>
      </c>
      <c r="L36" s="52">
        <v>17</v>
      </c>
      <c r="M36" s="75">
        <v>46191</v>
      </c>
      <c r="N36" s="49">
        <v>400</v>
      </c>
      <c r="O36" s="77">
        <v>17</v>
      </c>
      <c r="P36" s="63">
        <v>6800</v>
      </c>
      <c r="Q36" s="29"/>
      <c r="R36" s="29"/>
      <c r="S36" s="29"/>
      <c r="T36" s="29"/>
      <c r="U36" s="48"/>
    </row>
    <row r="37" spans="1:21" ht="30" customHeight="1" x14ac:dyDescent="0.3">
      <c r="A37" s="53">
        <v>27</v>
      </c>
      <c r="B37" s="44" t="s">
        <v>78</v>
      </c>
      <c r="C37" s="44" t="s">
        <v>37</v>
      </c>
      <c r="D37" s="47" t="s">
        <v>79</v>
      </c>
      <c r="E37" s="46" t="s">
        <v>103</v>
      </c>
      <c r="F37" s="49" t="s">
        <v>46</v>
      </c>
      <c r="G37" s="44">
        <v>20</v>
      </c>
      <c r="H37" s="46">
        <v>11</v>
      </c>
      <c r="I37" s="46">
        <v>1</v>
      </c>
      <c r="J37" s="46">
        <v>10</v>
      </c>
      <c r="K37" s="46">
        <v>10</v>
      </c>
      <c r="L37" s="52">
        <v>95</v>
      </c>
      <c r="M37" s="75">
        <v>46222</v>
      </c>
      <c r="N37" s="49">
        <v>9</v>
      </c>
      <c r="O37" s="77">
        <v>95</v>
      </c>
      <c r="P37" s="63">
        <v>855</v>
      </c>
      <c r="Q37" s="29"/>
      <c r="R37" s="29"/>
      <c r="S37" s="29"/>
      <c r="T37" s="29"/>
      <c r="U37" s="48"/>
    </row>
    <row r="38" spans="1:21" ht="30" customHeight="1" x14ac:dyDescent="0.3">
      <c r="A38" s="53">
        <v>28</v>
      </c>
      <c r="B38" s="51" t="s">
        <v>109</v>
      </c>
      <c r="C38" s="44" t="s">
        <v>41</v>
      </c>
      <c r="D38" s="47" t="s">
        <v>110</v>
      </c>
      <c r="E38" s="46" t="s">
        <v>103</v>
      </c>
      <c r="F38" s="46" t="s">
        <v>46</v>
      </c>
      <c r="G38" s="46">
        <v>15</v>
      </c>
      <c r="H38" s="46">
        <v>9</v>
      </c>
      <c r="I38" s="46">
        <v>1</v>
      </c>
      <c r="J38" s="46">
        <v>7</v>
      </c>
      <c r="K38" s="46">
        <v>5</v>
      </c>
      <c r="L38" s="52">
        <v>350</v>
      </c>
      <c r="M38" s="75">
        <v>46222</v>
      </c>
      <c r="N38" s="49">
        <v>6</v>
      </c>
      <c r="O38" s="77">
        <v>350</v>
      </c>
      <c r="P38" s="63">
        <v>2100</v>
      </c>
      <c r="Q38" s="29"/>
      <c r="R38" s="29"/>
      <c r="S38" s="29"/>
      <c r="T38" s="29"/>
      <c r="U38" s="48"/>
    </row>
    <row r="39" spans="1:21" ht="30" customHeight="1" x14ac:dyDescent="0.3">
      <c r="A39" s="53">
        <v>29</v>
      </c>
      <c r="B39" s="44" t="s">
        <v>266</v>
      </c>
      <c r="C39" s="44" t="s">
        <v>208</v>
      </c>
      <c r="D39" s="46" t="s">
        <v>267</v>
      </c>
      <c r="E39" s="46" t="s">
        <v>103</v>
      </c>
      <c r="F39" s="46" t="s">
        <v>46</v>
      </c>
      <c r="G39" s="44">
        <v>50</v>
      </c>
      <c r="H39" s="46">
        <v>48</v>
      </c>
      <c r="I39" s="46">
        <v>0</v>
      </c>
      <c r="J39" s="46">
        <v>0</v>
      </c>
      <c r="K39" s="46">
        <v>48</v>
      </c>
      <c r="L39" s="52">
        <v>65</v>
      </c>
      <c r="M39" s="75">
        <v>46191</v>
      </c>
      <c r="N39" s="49">
        <v>2</v>
      </c>
      <c r="O39" s="77">
        <v>65</v>
      </c>
      <c r="P39" s="63">
        <v>130</v>
      </c>
      <c r="Q39" s="29"/>
      <c r="R39" s="29"/>
      <c r="S39" s="29"/>
      <c r="T39" s="29"/>
      <c r="U39" s="48"/>
    </row>
    <row r="40" spans="1:21" ht="30" customHeight="1" x14ac:dyDescent="0.3">
      <c r="A40" s="53">
        <v>30</v>
      </c>
      <c r="B40" s="46" t="s">
        <v>322</v>
      </c>
      <c r="C40" s="44" t="s">
        <v>43</v>
      </c>
      <c r="D40" s="47"/>
      <c r="E40" s="46" t="s">
        <v>103</v>
      </c>
      <c r="F40" s="46" t="s">
        <v>46</v>
      </c>
      <c r="G40" s="44">
        <v>50</v>
      </c>
      <c r="H40" s="46">
        <v>31.751000000000001</v>
      </c>
      <c r="I40" s="46">
        <v>0</v>
      </c>
      <c r="J40" s="46">
        <v>0</v>
      </c>
      <c r="K40" s="46">
        <v>31.751000000000001</v>
      </c>
      <c r="L40" s="52">
        <v>418.88</v>
      </c>
      <c r="M40" s="75">
        <v>46222</v>
      </c>
      <c r="N40" s="49">
        <v>18.248999999999999</v>
      </c>
      <c r="O40" s="77">
        <v>418.88</v>
      </c>
      <c r="P40" s="63">
        <v>7644.1411199999993</v>
      </c>
      <c r="Q40" s="29"/>
      <c r="R40" s="29"/>
      <c r="S40" s="29"/>
      <c r="T40" s="29"/>
      <c r="U40" s="48"/>
    </row>
    <row r="41" spans="1:21" ht="30" customHeight="1" x14ac:dyDescent="0.3">
      <c r="A41" s="53">
        <v>31</v>
      </c>
      <c r="B41" s="46" t="s">
        <v>143</v>
      </c>
      <c r="C41" s="44" t="s">
        <v>43</v>
      </c>
      <c r="D41" s="43"/>
      <c r="E41" s="46" t="s">
        <v>103</v>
      </c>
      <c r="F41" s="46" t="s">
        <v>46</v>
      </c>
      <c r="G41" s="44">
        <v>50</v>
      </c>
      <c r="H41" s="46">
        <v>34.772000000000006</v>
      </c>
      <c r="I41" s="46">
        <v>2</v>
      </c>
      <c r="J41" s="46">
        <v>19.478999999999999</v>
      </c>
      <c r="K41" s="46">
        <v>31.751000000000001</v>
      </c>
      <c r="L41" s="52">
        <v>440.93</v>
      </c>
      <c r="M41" s="75">
        <v>46222</v>
      </c>
      <c r="N41" s="49">
        <v>15.227999999999994</v>
      </c>
      <c r="O41" s="77">
        <v>440.93</v>
      </c>
      <c r="P41" s="63">
        <v>6714.4820399999981</v>
      </c>
      <c r="Q41" s="29"/>
      <c r="R41" s="29"/>
      <c r="S41" s="29"/>
      <c r="T41" s="29"/>
      <c r="U41" s="48"/>
    </row>
    <row r="42" spans="1:21" ht="30" customHeight="1" x14ac:dyDescent="0.3">
      <c r="A42" s="53">
        <v>32</v>
      </c>
      <c r="B42" s="46" t="s">
        <v>268</v>
      </c>
      <c r="C42" s="44" t="s">
        <v>37</v>
      </c>
      <c r="D42" s="47" t="s">
        <v>269</v>
      </c>
      <c r="E42" s="46" t="s">
        <v>103</v>
      </c>
      <c r="F42" s="46" t="s">
        <v>274</v>
      </c>
      <c r="G42" s="44">
        <v>50</v>
      </c>
      <c r="H42" s="46">
        <v>39</v>
      </c>
      <c r="I42" s="46">
        <v>1</v>
      </c>
      <c r="J42" s="46">
        <v>12</v>
      </c>
      <c r="K42" s="46">
        <v>8</v>
      </c>
      <c r="L42" s="52">
        <v>1050</v>
      </c>
      <c r="M42" s="75">
        <v>46153</v>
      </c>
      <c r="N42" s="49">
        <v>11</v>
      </c>
      <c r="O42" s="77">
        <v>1050</v>
      </c>
      <c r="P42" s="63">
        <v>11550</v>
      </c>
      <c r="Q42" s="29"/>
      <c r="R42" s="29"/>
      <c r="S42" s="29"/>
      <c r="T42" s="29"/>
      <c r="U42" s="48"/>
    </row>
    <row r="43" spans="1:21" ht="30" customHeight="1" x14ac:dyDescent="0.3">
      <c r="A43" s="53">
        <v>33</v>
      </c>
      <c r="B43" s="44" t="s">
        <v>270</v>
      </c>
      <c r="C43" s="44" t="s">
        <v>37</v>
      </c>
      <c r="D43" s="47" t="s">
        <v>271</v>
      </c>
      <c r="E43" s="46" t="s">
        <v>103</v>
      </c>
      <c r="F43" s="49" t="s">
        <v>274</v>
      </c>
      <c r="G43" s="44">
        <v>150</v>
      </c>
      <c r="H43" s="46">
        <v>125</v>
      </c>
      <c r="I43" s="46">
        <v>11</v>
      </c>
      <c r="J43" s="46">
        <v>95</v>
      </c>
      <c r="K43" s="46">
        <v>73</v>
      </c>
      <c r="L43" s="52">
        <v>1280</v>
      </c>
      <c r="M43" s="75">
        <v>46191</v>
      </c>
      <c r="N43" s="49">
        <v>25</v>
      </c>
      <c r="O43" s="77">
        <v>1280</v>
      </c>
      <c r="P43" s="63">
        <v>32000</v>
      </c>
      <c r="Q43" s="29"/>
      <c r="R43" s="29"/>
      <c r="S43" s="29"/>
      <c r="T43" s="29"/>
      <c r="U43" s="48"/>
    </row>
    <row r="44" spans="1:21" ht="30" customHeight="1" thickBot="1" x14ac:dyDescent="0.35">
      <c r="A44" s="53">
        <v>34</v>
      </c>
      <c r="B44" s="51" t="s">
        <v>273</v>
      </c>
      <c r="C44" s="44" t="s">
        <v>37</v>
      </c>
      <c r="D44" s="47" t="s">
        <v>272</v>
      </c>
      <c r="E44" s="46" t="s">
        <v>103</v>
      </c>
      <c r="F44" s="46" t="s">
        <v>274</v>
      </c>
      <c r="G44" s="46">
        <v>160</v>
      </c>
      <c r="H44" s="46">
        <v>94</v>
      </c>
      <c r="I44" s="46">
        <v>1</v>
      </c>
      <c r="J44" s="46">
        <v>7</v>
      </c>
      <c r="K44" s="46">
        <v>13</v>
      </c>
      <c r="L44" s="52">
        <v>3400</v>
      </c>
      <c r="M44" s="75">
        <v>46191</v>
      </c>
      <c r="N44" s="49">
        <v>66</v>
      </c>
      <c r="O44" s="77">
        <v>3400</v>
      </c>
      <c r="P44" s="63">
        <v>224400</v>
      </c>
      <c r="Q44" s="29"/>
      <c r="R44" s="29"/>
      <c r="S44" s="29"/>
      <c r="T44" s="29"/>
      <c r="U44" s="48"/>
    </row>
    <row r="45" spans="1:21" s="35" customFormat="1" ht="23.25" customHeight="1" thickBot="1" x14ac:dyDescent="0.4">
      <c r="A45" s="162" t="s">
        <v>35</v>
      </c>
      <c r="B45" s="163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4"/>
      <c r="P45" s="127">
        <f>SUM(P11:P44)</f>
        <v>567625.32315999991</v>
      </c>
      <c r="Q45" s="33"/>
      <c r="R45" s="33"/>
      <c r="S45" s="33"/>
      <c r="T45" s="33"/>
      <c r="U45" s="34"/>
    </row>
    <row r="46" spans="1:21" s="2" customFormat="1" ht="22.5" customHeight="1" x14ac:dyDescent="0.35">
      <c r="A46" s="54"/>
      <c r="B46" s="55"/>
      <c r="C46" s="56"/>
      <c r="D46" s="56"/>
      <c r="E46" s="5"/>
      <c r="F46" s="56"/>
      <c r="G46" s="56"/>
      <c r="H46" s="5"/>
      <c r="I46" s="5"/>
      <c r="J46" s="5"/>
      <c r="K46" s="5"/>
      <c r="L46" s="5"/>
      <c r="M46" s="6"/>
      <c r="N46" s="7"/>
      <c r="O46" s="57"/>
      <c r="P46" s="9"/>
      <c r="Q46" s="9"/>
      <c r="R46" s="9"/>
      <c r="S46" s="9"/>
      <c r="T46" s="9"/>
      <c r="U46" s="58"/>
    </row>
    <row r="47" spans="1:21" s="2" customFormat="1" ht="22.5" customHeight="1" x14ac:dyDescent="0.35">
      <c r="A47" s="54"/>
      <c r="B47" s="55"/>
      <c r="C47" s="56"/>
      <c r="D47" s="56"/>
      <c r="E47" s="5"/>
      <c r="F47" s="56"/>
      <c r="G47" s="56"/>
      <c r="H47" s="5"/>
      <c r="I47" s="5"/>
      <c r="J47" s="5"/>
      <c r="K47" s="5"/>
      <c r="L47" s="5"/>
      <c r="M47" s="6"/>
      <c r="N47" s="7"/>
      <c r="O47" s="57"/>
      <c r="P47" s="9"/>
      <c r="Q47" s="9"/>
      <c r="R47" s="9"/>
      <c r="S47" s="9"/>
      <c r="T47" s="9"/>
      <c r="U47" s="58"/>
    </row>
    <row r="48" spans="1:21" s="2" customFormat="1" ht="22.5" customHeight="1" x14ac:dyDescent="0.35">
      <c r="A48" s="54"/>
      <c r="B48" s="55"/>
      <c r="C48" s="56"/>
      <c r="D48" s="56"/>
      <c r="E48" s="5"/>
      <c r="F48" s="56"/>
      <c r="G48" s="56"/>
      <c r="H48" s="5"/>
      <c r="I48" s="5"/>
      <c r="J48" s="5"/>
      <c r="K48" s="5"/>
      <c r="L48" s="5"/>
      <c r="M48" s="6"/>
      <c r="N48" s="7"/>
      <c r="O48" s="57"/>
      <c r="P48" s="9"/>
      <c r="Q48" s="9"/>
      <c r="R48" s="9"/>
      <c r="S48" s="9"/>
      <c r="T48" s="9"/>
      <c r="U48" s="58"/>
    </row>
    <row r="49" spans="1:21" s="2" customFormat="1" ht="22.5" customHeight="1" x14ac:dyDescent="0.35">
      <c r="A49" s="54"/>
      <c r="B49" s="55"/>
      <c r="C49" s="56"/>
      <c r="D49" s="56"/>
      <c r="E49" s="5"/>
      <c r="F49" s="56"/>
      <c r="G49" s="56"/>
      <c r="H49" s="5"/>
      <c r="I49" s="5"/>
      <c r="J49" s="5"/>
      <c r="K49" s="5"/>
      <c r="L49" s="5"/>
      <c r="M49" s="6"/>
      <c r="N49" s="7"/>
      <c r="O49" s="57"/>
      <c r="P49" s="9"/>
      <c r="Q49" s="9"/>
      <c r="R49" s="9"/>
      <c r="S49" s="9"/>
      <c r="T49" s="9"/>
      <c r="U49" s="58"/>
    </row>
    <row r="50" spans="1:21" s="2" customFormat="1" ht="22.5" customHeight="1" x14ac:dyDescent="0.35">
      <c r="A50" s="54"/>
      <c r="B50" s="55"/>
      <c r="C50" s="56"/>
      <c r="D50" s="56"/>
      <c r="E50" s="5"/>
      <c r="F50" s="56"/>
      <c r="G50" s="56"/>
      <c r="H50" s="5"/>
      <c r="I50" s="5"/>
      <c r="J50" s="5"/>
      <c r="K50" s="5"/>
      <c r="L50" s="5"/>
      <c r="M50" s="6"/>
      <c r="N50" s="7"/>
      <c r="O50" s="57"/>
      <c r="P50" s="9"/>
      <c r="Q50" s="9"/>
      <c r="R50" s="9"/>
      <c r="S50" s="9"/>
      <c r="T50" s="9"/>
      <c r="U50" s="58"/>
    </row>
    <row r="51" spans="1:21" s="2" customFormat="1" ht="22.5" customHeight="1" x14ac:dyDescent="0.35">
      <c r="A51" s="54"/>
      <c r="B51" s="55"/>
      <c r="C51" s="56"/>
      <c r="D51" s="56"/>
      <c r="E51" s="5"/>
      <c r="F51" s="56"/>
      <c r="G51" s="56"/>
      <c r="H51" s="5"/>
      <c r="I51" s="5"/>
      <c r="J51" s="5"/>
      <c r="K51" s="5"/>
      <c r="L51" s="5"/>
      <c r="M51" s="6"/>
      <c r="N51" s="7"/>
      <c r="O51" s="57"/>
      <c r="P51" s="9"/>
      <c r="Q51" s="9"/>
      <c r="R51" s="9"/>
      <c r="S51" s="9"/>
      <c r="T51" s="9"/>
      <c r="U51" s="58"/>
    </row>
    <row r="52" spans="1:21" s="2" customFormat="1" ht="22.5" customHeight="1" x14ac:dyDescent="0.35">
      <c r="A52" s="54"/>
      <c r="B52" s="55"/>
      <c r="C52" s="56"/>
      <c r="D52" s="56"/>
      <c r="E52" s="5"/>
      <c r="F52" s="56"/>
      <c r="G52" s="56"/>
      <c r="H52" s="5"/>
      <c r="I52" s="5"/>
      <c r="J52" s="5"/>
      <c r="K52" s="5"/>
      <c r="L52" s="5"/>
      <c r="M52" s="6"/>
      <c r="N52" s="7"/>
      <c r="O52" s="57"/>
      <c r="P52" s="9"/>
      <c r="Q52" s="9"/>
      <c r="R52" s="9"/>
      <c r="S52" s="9"/>
      <c r="T52" s="9"/>
      <c r="U52" s="58"/>
    </row>
    <row r="53" spans="1:21" s="2" customFormat="1" ht="19.5" customHeight="1" x14ac:dyDescent="0.35">
      <c r="A53" s="3"/>
      <c r="B53" s="40"/>
      <c r="C53" s="4"/>
      <c r="D53" s="4"/>
      <c r="E53" s="5"/>
      <c r="F53" s="4"/>
      <c r="G53" s="4"/>
      <c r="H53" s="5"/>
      <c r="I53" s="5"/>
      <c r="J53" s="5"/>
      <c r="K53" s="5"/>
      <c r="L53" s="5"/>
      <c r="M53" s="6"/>
      <c r="N53" s="7"/>
      <c r="O53" s="11"/>
      <c r="P53" s="9"/>
      <c r="Q53" s="9"/>
      <c r="R53" s="9"/>
      <c r="S53" s="9"/>
      <c r="T53" s="9"/>
      <c r="U53" s="10"/>
    </row>
    <row r="54" spans="1:21" s="2" customFormat="1" ht="20.149999999999999" customHeight="1" x14ac:dyDescent="0.25">
      <c r="A54" s="12"/>
      <c r="B54" s="22"/>
      <c r="C54" s="5"/>
      <c r="D54" s="30"/>
      <c r="E54" s="12"/>
      <c r="F54" s="12"/>
      <c r="G54" s="12"/>
      <c r="H54" s="12"/>
      <c r="I54" s="12"/>
      <c r="J54" s="12"/>
      <c r="K54" s="13"/>
      <c r="L54" s="13"/>
      <c r="M54" s="13"/>
      <c r="N54" s="14"/>
      <c r="O54" s="14"/>
      <c r="P54" s="9"/>
      <c r="Q54" s="9"/>
      <c r="R54" s="9"/>
      <c r="S54" s="9"/>
      <c r="T54" s="9"/>
      <c r="U54" s="13"/>
    </row>
    <row r="55" spans="1:21" s="15" customFormat="1" ht="17.5" customHeight="1" x14ac:dyDescent="0.35">
      <c r="B55" s="16" t="s">
        <v>26</v>
      </c>
      <c r="C55" s="36"/>
      <c r="D55" s="31"/>
      <c r="E55" s="22"/>
      <c r="F55"/>
      <c r="G55" s="161" t="s">
        <v>27</v>
      </c>
      <c r="H55" s="161"/>
      <c r="I55" s="161"/>
      <c r="J55"/>
      <c r="K55" s="21"/>
      <c r="L55" s="21"/>
      <c r="M55" s="23"/>
      <c r="N55" s="24"/>
      <c r="O55" s="161" t="s">
        <v>28</v>
      </c>
      <c r="P55" s="161"/>
      <c r="Q55" s="25"/>
      <c r="R55" s="24"/>
      <c r="S55" s="26"/>
      <c r="T55" s="161" t="s">
        <v>29</v>
      </c>
      <c r="U55" s="161"/>
    </row>
    <row r="56" spans="1:21" ht="20.149999999999999" customHeight="1" x14ac:dyDescent="0.3">
      <c r="A56" s="12"/>
      <c r="B56" s="22"/>
      <c r="C56" s="5"/>
      <c r="D56" s="30"/>
      <c r="E56" s="12"/>
      <c r="F56" s="12"/>
      <c r="G56" s="12"/>
      <c r="H56" s="12"/>
      <c r="I56" s="12"/>
      <c r="J56" s="12"/>
      <c r="K56" s="13"/>
      <c r="L56" s="13"/>
      <c r="M56" s="13"/>
      <c r="N56" s="17"/>
      <c r="O56" s="13"/>
      <c r="P56" s="13"/>
      <c r="Q56" s="5"/>
      <c r="R56" s="5"/>
      <c r="S56" s="5"/>
      <c r="T56" s="5"/>
      <c r="U56" s="13"/>
    </row>
    <row r="62" spans="1:21" x14ac:dyDescent="0.35">
      <c r="L62" s="18"/>
    </row>
    <row r="63" spans="1:21" s="20" customFormat="1" ht="15.5" x14ac:dyDescent="0.35">
      <c r="A63" s="1"/>
      <c r="B63" s="41"/>
      <c r="C63" s="23"/>
      <c r="D63" s="32"/>
      <c r="E63" s="1"/>
      <c r="F63" s="1"/>
      <c r="G63" s="1"/>
      <c r="H63" s="1"/>
      <c r="I63" s="1"/>
      <c r="J63" s="1"/>
      <c r="K63" s="1"/>
      <c r="L63" s="1"/>
      <c r="M63" s="1"/>
      <c r="N63" s="19"/>
      <c r="O63" s="1"/>
      <c r="P63" s="1"/>
      <c r="Q63" s="1"/>
      <c r="R63" s="1"/>
      <c r="S63" s="1"/>
      <c r="T63" s="1"/>
      <c r="U63" s="1"/>
    </row>
  </sheetData>
  <mergeCells count="36">
    <mergeCell ref="A4:D4"/>
    <mergeCell ref="E4:M4"/>
    <mergeCell ref="N4:U4"/>
    <mergeCell ref="A1:U1"/>
    <mergeCell ref="A2:U2"/>
    <mergeCell ref="A3:D3"/>
    <mergeCell ref="E3:M3"/>
    <mergeCell ref="N3:U3"/>
    <mergeCell ref="A5:D5"/>
    <mergeCell ref="E5:M5"/>
    <mergeCell ref="N5:U5"/>
    <mergeCell ref="A6:D6"/>
    <mergeCell ref="E6:M6"/>
    <mergeCell ref="N6:U6"/>
    <mergeCell ref="A7:D7"/>
    <mergeCell ref="E7:M7"/>
    <mergeCell ref="N7:U7"/>
    <mergeCell ref="A8:D8"/>
    <mergeCell ref="E8:M8"/>
    <mergeCell ref="N8:U8"/>
    <mergeCell ref="A45:O45"/>
    <mergeCell ref="G55:I55"/>
    <mergeCell ref="O55:P55"/>
    <mergeCell ref="T55:U55"/>
    <mergeCell ref="G9:J9"/>
    <mergeCell ref="K9:M9"/>
    <mergeCell ref="N9:P9"/>
    <mergeCell ref="Q9:R9"/>
    <mergeCell ref="S9:T9"/>
    <mergeCell ref="U9:U10"/>
    <mergeCell ref="A9:A10"/>
    <mergeCell ref="B9:B10"/>
    <mergeCell ref="C9:C10"/>
    <mergeCell ref="D9:D10"/>
    <mergeCell ref="E9:E10"/>
    <mergeCell ref="F9:F10"/>
  </mergeCells>
  <conditionalFormatting sqref="B45:B1048576 B1:B10">
    <cfRule type="duplicateValues" dxfId="25" priority="38"/>
  </conditionalFormatting>
  <conditionalFormatting sqref="B23:B26 B11:B20 B29 B32:B44">
    <cfRule type="duplicateValues" dxfId="24" priority="181343"/>
    <cfRule type="duplicateValues" dxfId="23" priority="181344"/>
    <cfRule type="duplicateValues" dxfId="22" priority="181345"/>
  </conditionalFormatting>
  <dataValidations count="1">
    <dataValidation type="list" allowBlank="1" showInputMessage="1" showErrorMessage="1" sqref="D33 D15 D24 D39" xr:uid="{E4AF0595-F6AB-45CE-9300-E9B7E830E772}">
      <formula1>$AC$1:$AC$93</formula1>
    </dataValidation>
  </dataValidations>
  <hyperlinks>
    <hyperlink ref="N8" r:id="rId1" display="suresh@humanaapparels.com" xr:uid="{2E1C2992-8441-4F2D-B7DA-83F789212E87}"/>
  </hyperlinks>
  <printOptions horizontalCentered="1"/>
  <pageMargins left="0.25" right="0.25" top="0.761811024" bottom="0.5" header="0.31496062992126" footer="0.31496062992126"/>
  <pageSetup paperSize="9" scale="49" fitToHeight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C5085-4DC4-4E6D-91C6-1E06A7207CB2}">
  <sheetPr>
    <pageSetUpPr fitToPage="1"/>
  </sheetPr>
  <dimension ref="A1:U51"/>
  <sheetViews>
    <sheetView view="pageBreakPreview" zoomScale="70" zoomScaleNormal="80" zoomScaleSheetLayoutView="70" workbookViewId="0">
      <pane ySplit="10" topLeftCell="A27" activePane="bottomLeft" state="frozen"/>
      <selection activeCell="G62" sqref="G62"/>
      <selection pane="bottomLeft" activeCell="P36" sqref="P36"/>
    </sheetView>
  </sheetViews>
  <sheetFormatPr defaultColWidth="9.1796875" defaultRowHeight="14.5" x14ac:dyDescent="0.35"/>
  <cols>
    <col min="1" max="1" width="5.7265625" style="1" customWidth="1"/>
    <col min="2" max="2" width="40.453125" style="41" customWidth="1"/>
    <col min="3" max="3" width="8.26953125" style="23" customWidth="1"/>
    <col min="4" max="4" width="17.1796875" style="32" customWidth="1"/>
    <col min="5" max="5" width="11.7265625" style="1" customWidth="1"/>
    <col min="6" max="6" width="16.453125" style="1" customWidth="1"/>
    <col min="7" max="7" width="11.54296875" style="1" customWidth="1"/>
    <col min="8" max="8" width="8.7265625" style="1" customWidth="1"/>
    <col min="9" max="9" width="8" style="1" customWidth="1"/>
    <col min="10" max="10" width="14.453125" style="1" customWidth="1"/>
    <col min="11" max="11" width="8.7265625" style="1" customWidth="1"/>
    <col min="12" max="12" width="9.26953125" style="1" customWidth="1"/>
    <col min="13" max="13" width="13.54296875" style="1" customWidth="1"/>
    <col min="14" max="14" width="8.7265625" style="19" customWidth="1"/>
    <col min="15" max="15" width="11" style="1" customWidth="1"/>
    <col min="16" max="16" width="13.7265625" style="1" customWidth="1"/>
    <col min="17" max="17" width="11.26953125" style="1" customWidth="1"/>
    <col min="18" max="18" width="9" style="1" customWidth="1"/>
    <col min="19" max="19" width="10.54296875" style="1" customWidth="1"/>
    <col min="20" max="20" width="11.7265625" style="1" customWidth="1"/>
    <col min="21" max="21" width="23" style="1" customWidth="1"/>
    <col min="22" max="16384" width="9.1796875" style="1"/>
  </cols>
  <sheetData>
    <row r="1" spans="1:21" ht="30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2"/>
    </row>
    <row r="2" spans="1:21" ht="17.5" x14ac:dyDescent="0.3">
      <c r="A2" s="143" t="s">
        <v>34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</row>
    <row r="3" spans="1:21" ht="13.5" customHeight="1" x14ac:dyDescent="0.3">
      <c r="A3" s="134" t="s">
        <v>1</v>
      </c>
      <c r="B3" s="135"/>
      <c r="C3" s="135"/>
      <c r="D3" s="136"/>
      <c r="E3" s="146" t="str">
        <f>ALL!E3</f>
        <v>HAPL/Dept./ALL/2026/August/01</v>
      </c>
      <c r="F3" s="135"/>
      <c r="G3" s="135"/>
      <c r="H3" s="135"/>
      <c r="I3" s="135"/>
      <c r="J3" s="135"/>
      <c r="K3" s="135"/>
      <c r="L3" s="135"/>
      <c r="M3" s="135"/>
      <c r="N3" s="146" t="s">
        <v>125</v>
      </c>
      <c r="O3" s="135"/>
      <c r="P3" s="135"/>
      <c r="Q3" s="135"/>
      <c r="R3" s="135"/>
      <c r="S3" s="135"/>
      <c r="T3" s="135"/>
      <c r="U3" s="147"/>
    </row>
    <row r="4" spans="1:21" ht="13.5" customHeight="1" x14ac:dyDescent="0.3">
      <c r="A4" s="134" t="s">
        <v>2</v>
      </c>
      <c r="B4" s="135"/>
      <c r="C4" s="135"/>
      <c r="D4" s="136"/>
      <c r="E4" s="137">
        <f>ALL!E4</f>
        <v>46235</v>
      </c>
      <c r="F4" s="138"/>
      <c r="G4" s="138"/>
      <c r="H4" s="138"/>
      <c r="I4" s="138"/>
      <c r="J4" s="138"/>
      <c r="K4" s="138"/>
      <c r="L4" s="138"/>
      <c r="M4" s="139"/>
      <c r="N4" s="146" t="s">
        <v>127</v>
      </c>
      <c r="O4" s="135"/>
      <c r="P4" s="135"/>
      <c r="Q4" s="135"/>
      <c r="R4" s="135"/>
      <c r="S4" s="135"/>
      <c r="T4" s="135"/>
      <c r="U4" s="147"/>
    </row>
    <row r="5" spans="1:21" ht="13.5" customHeight="1" x14ac:dyDescent="0.3">
      <c r="A5" s="134" t="s">
        <v>3</v>
      </c>
      <c r="B5" s="135"/>
      <c r="C5" s="135"/>
      <c r="D5" s="136"/>
      <c r="E5" s="154" t="str">
        <f>ALL!E5</f>
        <v>Humana Apparels Pvt. Ltd.</v>
      </c>
      <c r="F5" s="155"/>
      <c r="G5" s="155"/>
      <c r="H5" s="155"/>
      <c r="I5" s="155"/>
      <c r="J5" s="155"/>
      <c r="K5" s="155"/>
      <c r="L5" s="155"/>
      <c r="M5" s="178"/>
      <c r="N5" s="146" t="s">
        <v>128</v>
      </c>
      <c r="O5" s="135"/>
      <c r="P5" s="135"/>
      <c r="Q5" s="135"/>
      <c r="R5" s="135"/>
      <c r="S5" s="135"/>
      <c r="T5" s="135"/>
      <c r="U5" s="147"/>
    </row>
    <row r="6" spans="1:21" ht="13.5" customHeight="1" x14ac:dyDescent="0.3">
      <c r="A6" s="134" t="s">
        <v>4</v>
      </c>
      <c r="B6" s="135"/>
      <c r="C6" s="135"/>
      <c r="D6" s="136"/>
      <c r="E6" s="146" t="str">
        <f>ALL!E6</f>
        <v>ALL</v>
      </c>
      <c r="F6" s="135"/>
      <c r="G6" s="135"/>
      <c r="H6" s="135"/>
      <c r="I6" s="135"/>
      <c r="J6" s="135"/>
      <c r="K6" s="135"/>
      <c r="L6" s="135"/>
      <c r="M6" s="136"/>
      <c r="N6" s="148" t="s">
        <v>126</v>
      </c>
      <c r="O6" s="149"/>
      <c r="P6" s="149"/>
      <c r="Q6" s="149"/>
      <c r="R6" s="149"/>
      <c r="S6" s="149"/>
      <c r="T6" s="149"/>
      <c r="U6" s="150"/>
    </row>
    <row r="7" spans="1:21" ht="13.5" customHeight="1" x14ac:dyDescent="0.3">
      <c r="A7" s="134" t="s">
        <v>5</v>
      </c>
      <c r="B7" s="135"/>
      <c r="C7" s="135"/>
      <c r="D7" s="136"/>
      <c r="E7" s="146" t="str">
        <f>ALL!E7</f>
        <v>ALL</v>
      </c>
      <c r="F7" s="135"/>
      <c r="G7" s="135"/>
      <c r="H7" s="135"/>
      <c r="I7" s="135"/>
      <c r="J7" s="135"/>
      <c r="K7" s="135"/>
      <c r="L7" s="135"/>
      <c r="M7" s="136"/>
      <c r="N7" s="148" t="s">
        <v>129</v>
      </c>
      <c r="O7" s="149"/>
      <c r="P7" s="149"/>
      <c r="Q7" s="149"/>
      <c r="R7" s="149"/>
      <c r="S7" s="149"/>
      <c r="T7" s="149"/>
      <c r="U7" s="150"/>
    </row>
    <row r="8" spans="1:21" ht="13.5" customHeight="1" thickBot="1" x14ac:dyDescent="0.35">
      <c r="A8" s="156" t="s">
        <v>6</v>
      </c>
      <c r="B8" s="157"/>
      <c r="C8" s="157"/>
      <c r="D8" s="158"/>
      <c r="E8" s="186" t="str">
        <f>ALL!E8</f>
        <v>amirul@humanaapparels.com</v>
      </c>
      <c r="F8" s="152"/>
      <c r="G8" s="152"/>
      <c r="H8" s="152"/>
      <c r="I8" s="152"/>
      <c r="J8" s="152"/>
      <c r="K8" s="152"/>
      <c r="L8" s="152"/>
      <c r="M8" s="187"/>
      <c r="N8" s="151" t="s">
        <v>69</v>
      </c>
      <c r="O8" s="152"/>
      <c r="P8" s="152"/>
      <c r="Q8" s="152"/>
      <c r="R8" s="152"/>
      <c r="S8" s="152"/>
      <c r="T8" s="152"/>
      <c r="U8" s="153"/>
    </row>
    <row r="9" spans="1:21" ht="25.5" customHeight="1" x14ac:dyDescent="0.3">
      <c r="A9" s="165" t="s">
        <v>7</v>
      </c>
      <c r="B9" s="182" t="s">
        <v>8</v>
      </c>
      <c r="C9" s="171" t="s">
        <v>30</v>
      </c>
      <c r="D9" s="171" t="s">
        <v>9</v>
      </c>
      <c r="E9" s="171" t="s">
        <v>10</v>
      </c>
      <c r="F9" s="171" t="s">
        <v>33</v>
      </c>
      <c r="G9" s="171" t="s">
        <v>11</v>
      </c>
      <c r="H9" s="171"/>
      <c r="I9" s="171"/>
      <c r="J9" s="171"/>
      <c r="K9" s="188" t="s">
        <v>12</v>
      </c>
      <c r="L9" s="189"/>
      <c r="M9" s="190"/>
      <c r="N9" s="171" t="s">
        <v>13</v>
      </c>
      <c r="O9" s="171"/>
      <c r="P9" s="171"/>
      <c r="Q9" s="171" t="s">
        <v>14</v>
      </c>
      <c r="R9" s="171"/>
      <c r="S9" s="171" t="s">
        <v>15</v>
      </c>
      <c r="T9" s="171"/>
      <c r="U9" s="173" t="s">
        <v>16</v>
      </c>
    </row>
    <row r="10" spans="1:21" ht="30" customHeight="1" thickBot="1" x14ac:dyDescent="0.35">
      <c r="A10" s="166"/>
      <c r="B10" s="183"/>
      <c r="C10" s="172"/>
      <c r="D10" s="172"/>
      <c r="E10" s="172"/>
      <c r="F10" s="172"/>
      <c r="G10" s="37" t="s">
        <v>17</v>
      </c>
      <c r="H10" s="37" t="s">
        <v>18</v>
      </c>
      <c r="I10" s="37" t="s">
        <v>19</v>
      </c>
      <c r="J10" s="37" t="s">
        <v>20</v>
      </c>
      <c r="K10" s="38" t="s">
        <v>21</v>
      </c>
      <c r="L10" s="37" t="s">
        <v>31</v>
      </c>
      <c r="M10" s="37" t="s">
        <v>22</v>
      </c>
      <c r="N10" s="39" t="s">
        <v>21</v>
      </c>
      <c r="O10" s="37" t="s">
        <v>23</v>
      </c>
      <c r="P10" s="38" t="s">
        <v>24</v>
      </c>
      <c r="Q10" s="37" t="s">
        <v>32</v>
      </c>
      <c r="R10" s="38" t="s">
        <v>25</v>
      </c>
      <c r="S10" s="37" t="s">
        <v>32</v>
      </c>
      <c r="T10" s="38" t="s">
        <v>25</v>
      </c>
      <c r="U10" s="174"/>
    </row>
    <row r="11" spans="1:21" ht="25" customHeight="1" x14ac:dyDescent="0.3">
      <c r="A11" s="28">
        <v>1</v>
      </c>
      <c r="B11" s="44" t="s">
        <v>73</v>
      </c>
      <c r="C11" s="44" t="s">
        <v>80</v>
      </c>
      <c r="D11" s="47"/>
      <c r="E11" s="46" t="s">
        <v>103</v>
      </c>
      <c r="F11" s="49" t="s">
        <v>209</v>
      </c>
      <c r="G11" s="42">
        <v>2</v>
      </c>
      <c r="H11" s="46">
        <v>0</v>
      </c>
      <c r="I11" s="46">
        <v>0</v>
      </c>
      <c r="J11" s="46">
        <v>2</v>
      </c>
      <c r="K11" s="46">
        <v>2</v>
      </c>
      <c r="L11" s="52">
        <v>4200</v>
      </c>
      <c r="M11" s="75">
        <v>46207</v>
      </c>
      <c r="N11" s="49">
        <v>2</v>
      </c>
      <c r="O11" s="77">
        <v>4200</v>
      </c>
      <c r="P11" s="63">
        <v>8400</v>
      </c>
      <c r="Q11" s="29"/>
      <c r="R11" s="29"/>
      <c r="S11" s="29"/>
      <c r="T11" s="29"/>
      <c r="U11" s="50"/>
    </row>
    <row r="12" spans="1:21" ht="25" customHeight="1" x14ac:dyDescent="0.3">
      <c r="A12" s="28">
        <v>2</v>
      </c>
      <c r="B12" s="44" t="s">
        <v>104</v>
      </c>
      <c r="C12" s="44" t="s">
        <v>37</v>
      </c>
      <c r="D12" s="128" t="s">
        <v>239</v>
      </c>
      <c r="E12" s="46" t="s">
        <v>103</v>
      </c>
      <c r="F12" s="49" t="s">
        <v>209</v>
      </c>
      <c r="G12" s="42">
        <v>120</v>
      </c>
      <c r="H12" s="46">
        <v>0</v>
      </c>
      <c r="I12" s="46">
        <v>8</v>
      </c>
      <c r="J12" s="46">
        <v>72</v>
      </c>
      <c r="K12" s="46">
        <v>72</v>
      </c>
      <c r="L12" s="52">
        <v>9.7910000000000004</v>
      </c>
      <c r="M12" s="75">
        <v>46212</v>
      </c>
      <c r="N12" s="49">
        <v>120</v>
      </c>
      <c r="O12" s="77">
        <v>9.7910000000000004</v>
      </c>
      <c r="P12" s="63">
        <v>1174.92</v>
      </c>
      <c r="Q12" s="29"/>
      <c r="R12" s="29"/>
      <c r="S12" s="29"/>
      <c r="T12" s="29"/>
      <c r="U12" s="50"/>
    </row>
    <row r="13" spans="1:21" ht="25" customHeight="1" x14ac:dyDescent="0.3">
      <c r="A13" s="28">
        <v>3</v>
      </c>
      <c r="B13" s="44" t="s">
        <v>98</v>
      </c>
      <c r="C13" s="44" t="s">
        <v>37</v>
      </c>
      <c r="D13" s="47"/>
      <c r="E13" s="46" t="s">
        <v>103</v>
      </c>
      <c r="F13" s="49" t="s">
        <v>167</v>
      </c>
      <c r="G13" s="42">
        <v>60</v>
      </c>
      <c r="H13" s="46">
        <v>50</v>
      </c>
      <c r="I13" s="46">
        <v>2</v>
      </c>
      <c r="J13" s="46">
        <v>20</v>
      </c>
      <c r="K13" s="46">
        <v>70</v>
      </c>
      <c r="L13" s="52">
        <v>50</v>
      </c>
      <c r="M13" s="75">
        <v>46222</v>
      </c>
      <c r="N13" s="49">
        <v>10</v>
      </c>
      <c r="O13" s="77">
        <v>50</v>
      </c>
      <c r="P13" s="63">
        <v>500</v>
      </c>
      <c r="Q13" s="29"/>
      <c r="R13" s="29"/>
      <c r="S13" s="29"/>
      <c r="T13" s="29"/>
      <c r="U13" s="50"/>
    </row>
    <row r="14" spans="1:21" ht="25" customHeight="1" x14ac:dyDescent="0.3">
      <c r="A14" s="28">
        <v>4</v>
      </c>
      <c r="B14" s="44" t="s">
        <v>54</v>
      </c>
      <c r="C14" s="44" t="s">
        <v>40</v>
      </c>
      <c r="D14" s="47" t="s">
        <v>89</v>
      </c>
      <c r="E14" s="46" t="s">
        <v>103</v>
      </c>
      <c r="F14" s="49" t="s">
        <v>167</v>
      </c>
      <c r="G14" s="42">
        <v>40</v>
      </c>
      <c r="H14" s="46">
        <v>28</v>
      </c>
      <c r="I14" s="46">
        <v>6</v>
      </c>
      <c r="J14" s="46">
        <v>48</v>
      </c>
      <c r="K14" s="46">
        <v>42</v>
      </c>
      <c r="L14" s="52">
        <v>70</v>
      </c>
      <c r="M14" s="75">
        <v>46222</v>
      </c>
      <c r="N14" s="49">
        <v>12</v>
      </c>
      <c r="O14" s="77">
        <v>70</v>
      </c>
      <c r="P14" s="63">
        <v>840</v>
      </c>
      <c r="Q14" s="29"/>
      <c r="R14" s="29"/>
      <c r="S14" s="29"/>
      <c r="T14" s="29"/>
      <c r="U14" s="50"/>
    </row>
    <row r="15" spans="1:21" ht="25" customHeight="1" x14ac:dyDescent="0.3">
      <c r="A15" s="28">
        <v>5</v>
      </c>
      <c r="B15" s="44" t="s">
        <v>50</v>
      </c>
      <c r="C15" s="44" t="s">
        <v>37</v>
      </c>
      <c r="D15" s="47"/>
      <c r="E15" s="46" t="s">
        <v>103</v>
      </c>
      <c r="F15" s="49" t="s">
        <v>167</v>
      </c>
      <c r="G15" s="42">
        <v>200</v>
      </c>
      <c r="H15" s="46">
        <v>126</v>
      </c>
      <c r="I15" s="46">
        <v>11</v>
      </c>
      <c r="J15" s="46">
        <v>92</v>
      </c>
      <c r="K15" s="46">
        <v>200</v>
      </c>
      <c r="L15" s="52">
        <v>109.5</v>
      </c>
      <c r="M15" s="75">
        <v>46221</v>
      </c>
      <c r="N15" s="49">
        <v>74</v>
      </c>
      <c r="O15" s="77">
        <v>109.5</v>
      </c>
      <c r="P15" s="63">
        <v>8103</v>
      </c>
      <c r="Q15" s="29"/>
      <c r="R15" s="29"/>
      <c r="S15" s="29"/>
      <c r="T15" s="29"/>
      <c r="U15" s="50"/>
    </row>
    <row r="16" spans="1:21" ht="25" customHeight="1" x14ac:dyDescent="0.3">
      <c r="A16" s="28">
        <v>6</v>
      </c>
      <c r="B16" s="44" t="s">
        <v>133</v>
      </c>
      <c r="C16" s="44" t="s">
        <v>37</v>
      </c>
      <c r="D16" s="47"/>
      <c r="E16" s="46" t="s">
        <v>103</v>
      </c>
      <c r="F16" s="49" t="s">
        <v>167</v>
      </c>
      <c r="G16" s="42">
        <v>25</v>
      </c>
      <c r="H16" s="46">
        <v>18</v>
      </c>
      <c r="I16" s="46">
        <v>3</v>
      </c>
      <c r="J16" s="46">
        <v>30</v>
      </c>
      <c r="K16" s="46">
        <v>48</v>
      </c>
      <c r="L16" s="52">
        <v>265</v>
      </c>
      <c r="M16" s="75">
        <v>46222</v>
      </c>
      <c r="N16" s="49">
        <v>7</v>
      </c>
      <c r="O16" s="77">
        <v>265</v>
      </c>
      <c r="P16" s="63">
        <v>1855</v>
      </c>
      <c r="Q16" s="29"/>
      <c r="R16" s="29"/>
      <c r="S16" s="29"/>
      <c r="T16" s="29"/>
      <c r="U16" s="50"/>
    </row>
    <row r="17" spans="1:21" ht="25" customHeight="1" x14ac:dyDescent="0.3">
      <c r="A17" s="28">
        <v>7</v>
      </c>
      <c r="B17" s="44" t="s">
        <v>115</v>
      </c>
      <c r="C17" s="44" t="s">
        <v>37</v>
      </c>
      <c r="D17" s="47"/>
      <c r="E17" s="46" t="s">
        <v>103</v>
      </c>
      <c r="F17" s="49" t="s">
        <v>167</v>
      </c>
      <c r="G17" s="42">
        <v>30</v>
      </c>
      <c r="H17" s="46">
        <v>14</v>
      </c>
      <c r="I17" s="46">
        <v>2</v>
      </c>
      <c r="J17" s="46">
        <v>19</v>
      </c>
      <c r="K17" s="46">
        <v>24</v>
      </c>
      <c r="L17" s="52">
        <v>130</v>
      </c>
      <c r="M17" s="75">
        <v>46221</v>
      </c>
      <c r="N17" s="49">
        <v>16</v>
      </c>
      <c r="O17" s="77">
        <v>130</v>
      </c>
      <c r="P17" s="63">
        <v>2080</v>
      </c>
      <c r="Q17" s="29"/>
      <c r="R17" s="29"/>
      <c r="S17" s="29"/>
      <c r="T17" s="29"/>
      <c r="U17" s="50"/>
    </row>
    <row r="18" spans="1:21" ht="25" customHeight="1" x14ac:dyDescent="0.3">
      <c r="A18" s="28">
        <v>8</v>
      </c>
      <c r="B18" s="46" t="s">
        <v>166</v>
      </c>
      <c r="C18" s="44" t="s">
        <v>37</v>
      </c>
      <c r="D18" s="47"/>
      <c r="E18" s="46" t="s">
        <v>103</v>
      </c>
      <c r="F18" s="49" t="s">
        <v>167</v>
      </c>
      <c r="G18" s="44">
        <v>5</v>
      </c>
      <c r="H18" s="46">
        <v>4</v>
      </c>
      <c r="I18" s="46">
        <v>0</v>
      </c>
      <c r="J18" s="46">
        <v>2</v>
      </c>
      <c r="K18" s="46">
        <v>6</v>
      </c>
      <c r="L18" s="52">
        <v>100</v>
      </c>
      <c r="M18" s="75">
        <v>46221</v>
      </c>
      <c r="N18" s="49">
        <v>1</v>
      </c>
      <c r="O18" s="77">
        <v>100</v>
      </c>
      <c r="P18" s="63">
        <v>100</v>
      </c>
      <c r="Q18" s="29"/>
      <c r="R18" s="29"/>
      <c r="S18" s="29"/>
      <c r="T18" s="29"/>
      <c r="U18" s="50"/>
    </row>
    <row r="19" spans="1:21" ht="25" customHeight="1" x14ac:dyDescent="0.3">
      <c r="A19" s="28">
        <v>9</v>
      </c>
      <c r="B19" s="44" t="s">
        <v>116</v>
      </c>
      <c r="C19" s="44" t="s">
        <v>37</v>
      </c>
      <c r="D19" s="47" t="s">
        <v>117</v>
      </c>
      <c r="E19" s="46" t="s">
        <v>103</v>
      </c>
      <c r="F19" s="49" t="s">
        <v>167</v>
      </c>
      <c r="G19" s="42">
        <v>2</v>
      </c>
      <c r="H19" s="46">
        <v>1</v>
      </c>
      <c r="I19" s="46">
        <v>0</v>
      </c>
      <c r="J19" s="46">
        <v>1</v>
      </c>
      <c r="K19" s="46">
        <v>1</v>
      </c>
      <c r="L19" s="52">
        <v>1100</v>
      </c>
      <c r="M19" s="75">
        <v>46221</v>
      </c>
      <c r="N19" s="49">
        <v>1</v>
      </c>
      <c r="O19" s="77">
        <v>1100</v>
      </c>
      <c r="P19" s="63">
        <v>1100</v>
      </c>
      <c r="Q19" s="29"/>
      <c r="R19" s="29"/>
      <c r="S19" s="29"/>
      <c r="T19" s="29"/>
      <c r="U19" s="50"/>
    </row>
    <row r="20" spans="1:21" ht="25" customHeight="1" x14ac:dyDescent="0.3">
      <c r="A20" s="28">
        <v>10</v>
      </c>
      <c r="B20" s="44" t="s">
        <v>241</v>
      </c>
      <c r="C20" s="44" t="s">
        <v>37</v>
      </c>
      <c r="D20" s="47"/>
      <c r="E20" s="46" t="s">
        <v>103</v>
      </c>
      <c r="F20" s="49" t="s">
        <v>167</v>
      </c>
      <c r="G20" s="42">
        <v>10</v>
      </c>
      <c r="H20" s="46">
        <v>0</v>
      </c>
      <c r="I20" s="46">
        <v>0</v>
      </c>
      <c r="J20" s="46">
        <v>0</v>
      </c>
      <c r="K20" s="46">
        <v>0</v>
      </c>
      <c r="L20" s="52">
        <v>0</v>
      </c>
      <c r="M20" s="75">
        <v>0</v>
      </c>
      <c r="N20" s="49">
        <v>10</v>
      </c>
      <c r="O20" s="77">
        <v>0</v>
      </c>
      <c r="P20" s="63">
        <v>0</v>
      </c>
      <c r="Q20" s="29"/>
      <c r="R20" s="29"/>
      <c r="S20" s="29"/>
      <c r="T20" s="29"/>
      <c r="U20" s="50"/>
    </row>
    <row r="21" spans="1:21" ht="25" customHeight="1" x14ac:dyDescent="0.3">
      <c r="A21" s="28">
        <v>11</v>
      </c>
      <c r="B21" s="44" t="s">
        <v>242</v>
      </c>
      <c r="C21" s="44" t="s">
        <v>43</v>
      </c>
      <c r="D21" s="47"/>
      <c r="E21" s="46" t="s">
        <v>103</v>
      </c>
      <c r="F21" s="49" t="s">
        <v>167</v>
      </c>
      <c r="G21" s="42">
        <v>15</v>
      </c>
      <c r="H21" s="46">
        <v>0</v>
      </c>
      <c r="I21" s="46">
        <v>2</v>
      </c>
      <c r="J21" s="46">
        <v>19</v>
      </c>
      <c r="K21" s="46">
        <v>14</v>
      </c>
      <c r="L21" s="52">
        <v>140</v>
      </c>
      <c r="M21" s="75">
        <v>46191</v>
      </c>
      <c r="N21" s="49">
        <v>15</v>
      </c>
      <c r="O21" s="77">
        <v>140</v>
      </c>
      <c r="P21" s="63">
        <v>2100</v>
      </c>
      <c r="Q21" s="29"/>
      <c r="R21" s="29"/>
      <c r="S21" s="29"/>
      <c r="T21" s="29"/>
      <c r="U21" s="50"/>
    </row>
    <row r="22" spans="1:21" ht="25" customHeight="1" x14ac:dyDescent="0.3">
      <c r="A22" s="28">
        <v>12</v>
      </c>
      <c r="B22" s="44" t="s">
        <v>53</v>
      </c>
      <c r="C22" s="44" t="s">
        <v>43</v>
      </c>
      <c r="D22" s="47"/>
      <c r="E22" s="46" t="s">
        <v>103</v>
      </c>
      <c r="F22" s="49" t="s">
        <v>167</v>
      </c>
      <c r="G22" s="42">
        <v>15</v>
      </c>
      <c r="H22" s="46">
        <v>0</v>
      </c>
      <c r="I22" s="46">
        <v>2</v>
      </c>
      <c r="J22" s="46">
        <v>18</v>
      </c>
      <c r="K22" s="46">
        <v>11</v>
      </c>
      <c r="L22" s="52">
        <v>70</v>
      </c>
      <c r="M22" s="75">
        <v>46221</v>
      </c>
      <c r="N22" s="49">
        <v>15</v>
      </c>
      <c r="O22" s="77">
        <v>70</v>
      </c>
      <c r="P22" s="63">
        <v>1050</v>
      </c>
      <c r="Q22" s="29"/>
      <c r="R22" s="29"/>
      <c r="S22" s="29"/>
      <c r="T22" s="29"/>
      <c r="U22" s="50"/>
    </row>
    <row r="23" spans="1:21" ht="25" customHeight="1" x14ac:dyDescent="0.3">
      <c r="A23" s="28">
        <v>13</v>
      </c>
      <c r="B23" s="44" t="s">
        <v>81</v>
      </c>
      <c r="C23" s="44" t="s">
        <v>37</v>
      </c>
      <c r="D23" s="47" t="s">
        <v>82</v>
      </c>
      <c r="E23" s="46" t="s">
        <v>103</v>
      </c>
      <c r="F23" s="49" t="s">
        <v>167</v>
      </c>
      <c r="G23" s="42">
        <v>10</v>
      </c>
      <c r="H23" s="46">
        <v>5</v>
      </c>
      <c r="I23" s="46">
        <v>1</v>
      </c>
      <c r="J23" s="46">
        <v>6</v>
      </c>
      <c r="K23" s="46">
        <v>11</v>
      </c>
      <c r="L23" s="52">
        <v>170</v>
      </c>
      <c r="M23" s="75">
        <v>46222</v>
      </c>
      <c r="N23" s="49">
        <v>5</v>
      </c>
      <c r="O23" s="77">
        <v>170</v>
      </c>
      <c r="P23" s="63">
        <v>850</v>
      </c>
      <c r="Q23" s="29"/>
      <c r="R23" s="29"/>
      <c r="S23" s="29"/>
      <c r="T23" s="29"/>
      <c r="U23" s="50"/>
    </row>
    <row r="24" spans="1:21" ht="25" customHeight="1" x14ac:dyDescent="0.3">
      <c r="A24" s="28">
        <v>14</v>
      </c>
      <c r="B24" s="44" t="s">
        <v>134</v>
      </c>
      <c r="C24" s="44" t="s">
        <v>37</v>
      </c>
      <c r="D24" s="47" t="s">
        <v>99</v>
      </c>
      <c r="E24" s="46" t="s">
        <v>103</v>
      </c>
      <c r="F24" s="49" t="s">
        <v>167</v>
      </c>
      <c r="G24" s="42">
        <v>360</v>
      </c>
      <c r="H24" s="46">
        <v>240</v>
      </c>
      <c r="I24" s="46">
        <v>17</v>
      </c>
      <c r="J24" s="46">
        <v>149</v>
      </c>
      <c r="K24" s="46">
        <v>317</v>
      </c>
      <c r="L24" s="52">
        <v>21.8</v>
      </c>
      <c r="M24" s="75">
        <v>46222</v>
      </c>
      <c r="N24" s="49">
        <v>120</v>
      </c>
      <c r="O24" s="77">
        <v>21.8</v>
      </c>
      <c r="P24" s="63">
        <v>2616</v>
      </c>
      <c r="Q24" s="29"/>
      <c r="R24" s="29"/>
      <c r="S24" s="29"/>
      <c r="T24" s="29"/>
      <c r="U24" s="50"/>
    </row>
    <row r="25" spans="1:21" ht="25" customHeight="1" x14ac:dyDescent="0.3">
      <c r="A25" s="28">
        <v>15</v>
      </c>
      <c r="B25" s="46" t="s">
        <v>243</v>
      </c>
      <c r="C25" s="44" t="s">
        <v>37</v>
      </c>
      <c r="D25" s="47" t="s">
        <v>244</v>
      </c>
      <c r="E25" s="46" t="s">
        <v>103</v>
      </c>
      <c r="F25" s="49" t="s">
        <v>167</v>
      </c>
      <c r="G25" s="44">
        <v>20</v>
      </c>
      <c r="H25" s="46">
        <v>0</v>
      </c>
      <c r="I25" s="46">
        <v>1</v>
      </c>
      <c r="J25" s="46">
        <v>12</v>
      </c>
      <c r="K25" s="46">
        <v>12</v>
      </c>
      <c r="L25" s="52">
        <v>65</v>
      </c>
      <c r="M25" s="75">
        <v>46191</v>
      </c>
      <c r="N25" s="49">
        <v>20</v>
      </c>
      <c r="O25" s="77">
        <v>65</v>
      </c>
      <c r="P25" s="63">
        <v>1300</v>
      </c>
      <c r="Q25" s="29"/>
      <c r="R25" s="29"/>
      <c r="S25" s="29"/>
      <c r="T25" s="29"/>
      <c r="U25" s="50"/>
    </row>
    <row r="26" spans="1:21" ht="25" customHeight="1" x14ac:dyDescent="0.3">
      <c r="A26" s="28">
        <v>16</v>
      </c>
      <c r="B26" s="44" t="s">
        <v>100</v>
      </c>
      <c r="C26" s="44" t="s">
        <v>37</v>
      </c>
      <c r="D26" s="47"/>
      <c r="E26" s="46" t="s">
        <v>103</v>
      </c>
      <c r="F26" s="49" t="s">
        <v>167</v>
      </c>
      <c r="G26" s="42">
        <v>300</v>
      </c>
      <c r="H26" s="46">
        <v>230</v>
      </c>
      <c r="I26" s="46">
        <v>33</v>
      </c>
      <c r="J26" s="46">
        <v>288</v>
      </c>
      <c r="K26" s="46">
        <v>216</v>
      </c>
      <c r="L26" s="52">
        <v>14.6</v>
      </c>
      <c r="M26" s="75">
        <v>46221</v>
      </c>
      <c r="N26" s="49">
        <v>70</v>
      </c>
      <c r="O26" s="77">
        <v>14.6</v>
      </c>
      <c r="P26" s="63">
        <v>1022</v>
      </c>
      <c r="Q26" s="29"/>
      <c r="R26" s="29"/>
      <c r="S26" s="29"/>
      <c r="T26" s="29"/>
      <c r="U26" s="50"/>
    </row>
    <row r="27" spans="1:21" ht="25" customHeight="1" x14ac:dyDescent="0.3">
      <c r="A27" s="28">
        <v>17</v>
      </c>
      <c r="B27" s="44" t="s">
        <v>58</v>
      </c>
      <c r="C27" s="44" t="s">
        <v>37</v>
      </c>
      <c r="D27" s="47" t="s">
        <v>59</v>
      </c>
      <c r="E27" s="46" t="s">
        <v>103</v>
      </c>
      <c r="F27" s="49" t="s">
        <v>167</v>
      </c>
      <c r="G27" s="42">
        <v>30</v>
      </c>
      <c r="H27" s="46">
        <v>14</v>
      </c>
      <c r="I27" s="46">
        <v>2</v>
      </c>
      <c r="J27" s="46">
        <v>19</v>
      </c>
      <c r="K27" s="46">
        <v>26</v>
      </c>
      <c r="L27" s="52">
        <v>45</v>
      </c>
      <c r="M27" s="75">
        <v>46221</v>
      </c>
      <c r="N27" s="49">
        <v>16</v>
      </c>
      <c r="O27" s="77">
        <v>45</v>
      </c>
      <c r="P27" s="63">
        <v>720</v>
      </c>
      <c r="Q27" s="29"/>
      <c r="R27" s="29"/>
      <c r="S27" s="29"/>
      <c r="T27" s="29"/>
      <c r="U27" s="50"/>
    </row>
    <row r="28" spans="1:21" ht="25" customHeight="1" x14ac:dyDescent="0.3">
      <c r="A28" s="28">
        <v>18</v>
      </c>
      <c r="B28" s="46" t="s">
        <v>90</v>
      </c>
      <c r="C28" s="44" t="s">
        <v>43</v>
      </c>
      <c r="D28" s="47"/>
      <c r="E28" s="46" t="s">
        <v>103</v>
      </c>
      <c r="F28" s="49" t="s">
        <v>167</v>
      </c>
      <c r="G28" s="44">
        <v>3</v>
      </c>
      <c r="H28" s="46">
        <v>0</v>
      </c>
      <c r="I28" s="46">
        <v>0</v>
      </c>
      <c r="J28" s="46">
        <v>4</v>
      </c>
      <c r="K28" s="46">
        <v>2</v>
      </c>
      <c r="L28" s="52">
        <v>390</v>
      </c>
      <c r="M28" s="75">
        <v>46222</v>
      </c>
      <c r="N28" s="49">
        <v>3</v>
      </c>
      <c r="O28" s="77">
        <v>390</v>
      </c>
      <c r="P28" s="63">
        <v>1170</v>
      </c>
      <c r="Q28" s="29"/>
      <c r="R28" s="29"/>
      <c r="S28" s="29"/>
      <c r="T28" s="29"/>
      <c r="U28" s="50"/>
    </row>
    <row r="29" spans="1:21" ht="25" customHeight="1" x14ac:dyDescent="0.3">
      <c r="A29" s="28">
        <v>19</v>
      </c>
      <c r="B29" s="44" t="s">
        <v>83</v>
      </c>
      <c r="C29" s="44" t="s">
        <v>37</v>
      </c>
      <c r="D29" s="47"/>
      <c r="E29" s="46" t="s">
        <v>103</v>
      </c>
      <c r="F29" s="49" t="s">
        <v>167</v>
      </c>
      <c r="G29" s="42">
        <v>10</v>
      </c>
      <c r="H29" s="46">
        <v>0</v>
      </c>
      <c r="I29" s="46">
        <v>1</v>
      </c>
      <c r="J29" s="46">
        <v>11</v>
      </c>
      <c r="K29" s="46">
        <v>11</v>
      </c>
      <c r="L29" s="52">
        <v>95</v>
      </c>
      <c r="M29" s="75">
        <v>46221</v>
      </c>
      <c r="N29" s="49">
        <v>10</v>
      </c>
      <c r="O29" s="77">
        <v>95</v>
      </c>
      <c r="P29" s="63">
        <v>950</v>
      </c>
      <c r="Q29" s="29"/>
      <c r="R29" s="29"/>
      <c r="S29" s="29"/>
      <c r="T29" s="29"/>
      <c r="U29" s="50"/>
    </row>
    <row r="30" spans="1:21" ht="25" customHeight="1" x14ac:dyDescent="0.3">
      <c r="A30" s="28">
        <v>20</v>
      </c>
      <c r="B30" s="44" t="s">
        <v>118</v>
      </c>
      <c r="C30" s="44" t="s">
        <v>37</v>
      </c>
      <c r="D30" s="47"/>
      <c r="E30" s="46" t="s">
        <v>103</v>
      </c>
      <c r="F30" s="49" t="s">
        <v>167</v>
      </c>
      <c r="G30" s="42">
        <v>15</v>
      </c>
      <c r="H30" s="46">
        <v>10</v>
      </c>
      <c r="I30" s="46">
        <v>1</v>
      </c>
      <c r="J30" s="46">
        <v>7</v>
      </c>
      <c r="K30" s="46">
        <v>10</v>
      </c>
      <c r="L30" s="52">
        <v>85</v>
      </c>
      <c r="M30" s="75">
        <v>46222</v>
      </c>
      <c r="N30" s="49">
        <v>5</v>
      </c>
      <c r="O30" s="77">
        <v>85</v>
      </c>
      <c r="P30" s="63">
        <v>425</v>
      </c>
      <c r="Q30" s="29"/>
      <c r="R30" s="29"/>
      <c r="S30" s="29"/>
      <c r="T30" s="29"/>
      <c r="U30" s="50"/>
    </row>
    <row r="31" spans="1:21" ht="25" customHeight="1" x14ac:dyDescent="0.3">
      <c r="A31" s="28">
        <v>21</v>
      </c>
      <c r="B31" s="44" t="s">
        <v>84</v>
      </c>
      <c r="C31" s="44" t="s">
        <v>60</v>
      </c>
      <c r="D31" s="47"/>
      <c r="E31" s="46" t="s">
        <v>103</v>
      </c>
      <c r="F31" s="49" t="s">
        <v>167</v>
      </c>
      <c r="G31" s="42">
        <v>40</v>
      </c>
      <c r="H31" s="46">
        <v>0</v>
      </c>
      <c r="I31" s="46">
        <v>7</v>
      </c>
      <c r="J31" s="46">
        <v>62</v>
      </c>
      <c r="K31" s="46">
        <v>59</v>
      </c>
      <c r="L31" s="52">
        <v>40</v>
      </c>
      <c r="M31" s="75">
        <v>46221</v>
      </c>
      <c r="N31" s="49">
        <v>40</v>
      </c>
      <c r="O31" s="77">
        <v>40</v>
      </c>
      <c r="P31" s="63">
        <v>1600</v>
      </c>
      <c r="Q31" s="29"/>
      <c r="R31" s="29"/>
      <c r="S31" s="29"/>
      <c r="T31" s="29"/>
      <c r="U31" s="50"/>
    </row>
    <row r="32" spans="1:21" ht="25" customHeight="1" x14ac:dyDescent="0.3">
      <c r="A32" s="28">
        <v>22</v>
      </c>
      <c r="B32" s="44" t="s">
        <v>245</v>
      </c>
      <c r="C32" s="44" t="s">
        <v>37</v>
      </c>
      <c r="D32" s="47" t="s">
        <v>246</v>
      </c>
      <c r="E32" s="46" t="s">
        <v>103</v>
      </c>
      <c r="F32" s="49" t="s">
        <v>167</v>
      </c>
      <c r="G32" s="42">
        <v>10</v>
      </c>
      <c r="H32" s="46">
        <v>7</v>
      </c>
      <c r="I32" s="46">
        <v>0</v>
      </c>
      <c r="J32" s="46">
        <v>0</v>
      </c>
      <c r="K32" s="46">
        <v>12</v>
      </c>
      <c r="L32" s="52">
        <v>100</v>
      </c>
      <c r="M32" s="75">
        <v>45556</v>
      </c>
      <c r="N32" s="49">
        <v>3</v>
      </c>
      <c r="O32" s="77">
        <v>100</v>
      </c>
      <c r="P32" s="63">
        <v>300</v>
      </c>
      <c r="Q32" s="29"/>
      <c r="R32" s="29"/>
      <c r="S32" s="29"/>
      <c r="T32" s="29"/>
      <c r="U32" s="50"/>
    </row>
    <row r="33" spans="1:21" ht="25" customHeight="1" x14ac:dyDescent="0.3">
      <c r="A33" s="28">
        <v>23</v>
      </c>
      <c r="B33" s="44" t="s">
        <v>247</v>
      </c>
      <c r="C33" s="44" t="s">
        <v>37</v>
      </c>
      <c r="D33" s="47"/>
      <c r="E33" s="46" t="s">
        <v>42</v>
      </c>
      <c r="F33" s="49" t="s">
        <v>167</v>
      </c>
      <c r="G33" s="42">
        <v>60</v>
      </c>
      <c r="H33" s="46">
        <v>0</v>
      </c>
      <c r="I33" s="46">
        <v>0</v>
      </c>
      <c r="J33" s="46">
        <v>0</v>
      </c>
      <c r="K33" s="46">
        <v>0</v>
      </c>
      <c r="L33" s="52">
        <v>0</v>
      </c>
      <c r="M33" s="75">
        <v>0</v>
      </c>
      <c r="N33" s="49">
        <v>60</v>
      </c>
      <c r="O33" s="77">
        <v>0</v>
      </c>
      <c r="P33" s="63">
        <v>0</v>
      </c>
      <c r="Q33" s="29"/>
      <c r="R33" s="29"/>
      <c r="S33" s="29"/>
      <c r="T33" s="29"/>
      <c r="U33" s="50"/>
    </row>
    <row r="34" spans="1:21" ht="25" customHeight="1" x14ac:dyDescent="0.3">
      <c r="A34" s="28">
        <v>24</v>
      </c>
      <c r="B34" s="46" t="s">
        <v>135</v>
      </c>
      <c r="C34" s="44" t="s">
        <v>43</v>
      </c>
      <c r="D34" s="47"/>
      <c r="E34" s="46" t="s">
        <v>103</v>
      </c>
      <c r="F34" s="49" t="s">
        <v>167</v>
      </c>
      <c r="G34" s="44">
        <v>4</v>
      </c>
      <c r="H34" s="46">
        <v>3</v>
      </c>
      <c r="I34" s="46">
        <v>0</v>
      </c>
      <c r="J34" s="46">
        <v>0</v>
      </c>
      <c r="K34" s="46">
        <v>3</v>
      </c>
      <c r="L34" s="52">
        <v>210</v>
      </c>
      <c r="M34" s="75">
        <v>46222</v>
      </c>
      <c r="N34" s="49">
        <v>1</v>
      </c>
      <c r="O34" s="77">
        <v>210</v>
      </c>
      <c r="P34" s="63">
        <v>210</v>
      </c>
      <c r="Q34" s="29"/>
      <c r="R34" s="29"/>
      <c r="S34" s="29"/>
      <c r="T34" s="29"/>
      <c r="U34" s="50"/>
    </row>
    <row r="35" spans="1:21" ht="25" customHeight="1" thickBot="1" x14ac:dyDescent="0.35">
      <c r="A35" s="28">
        <v>25</v>
      </c>
      <c r="B35" s="44" t="s">
        <v>70</v>
      </c>
      <c r="C35" s="44" t="s">
        <v>40</v>
      </c>
      <c r="D35" s="47" t="s">
        <v>163</v>
      </c>
      <c r="E35" s="46" t="s">
        <v>103</v>
      </c>
      <c r="F35" s="49" t="s">
        <v>320</v>
      </c>
      <c r="G35" s="42">
        <v>50</v>
      </c>
      <c r="H35" s="46">
        <v>31</v>
      </c>
      <c r="I35" s="46">
        <v>3</v>
      </c>
      <c r="J35" s="46">
        <v>25</v>
      </c>
      <c r="K35" s="46">
        <v>18</v>
      </c>
      <c r="L35" s="52">
        <v>220</v>
      </c>
      <c r="M35" s="75">
        <v>46229</v>
      </c>
      <c r="N35" s="49">
        <v>19</v>
      </c>
      <c r="O35" s="77">
        <v>220</v>
      </c>
      <c r="P35" s="63">
        <v>4180</v>
      </c>
      <c r="Q35" s="29"/>
      <c r="R35" s="29"/>
      <c r="S35" s="29"/>
      <c r="T35" s="29"/>
      <c r="U35" s="50"/>
    </row>
    <row r="36" spans="1:21" s="35" customFormat="1" ht="23.25" customHeight="1" thickBot="1" x14ac:dyDescent="0.4">
      <c r="A36" s="184" t="s">
        <v>35</v>
      </c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27">
        <f>SUM(P11:P35)</f>
        <v>42645.919999999998</v>
      </c>
      <c r="Q36" s="33"/>
      <c r="R36" s="33"/>
      <c r="S36" s="33"/>
      <c r="T36" s="33"/>
      <c r="U36" s="34"/>
    </row>
    <row r="37" spans="1:21" s="2" customFormat="1" ht="22.5" customHeight="1" x14ac:dyDescent="0.35">
      <c r="A37" s="3"/>
      <c r="B37" s="40"/>
      <c r="C37" s="4"/>
      <c r="D37" s="4"/>
      <c r="E37" s="5"/>
      <c r="F37" s="4"/>
      <c r="G37" s="4"/>
      <c r="H37" s="5"/>
      <c r="I37" s="5"/>
      <c r="J37" s="5"/>
      <c r="K37" s="5"/>
      <c r="L37" s="5"/>
      <c r="M37" s="6"/>
      <c r="N37" s="7"/>
      <c r="O37" s="8"/>
      <c r="P37" s="9"/>
      <c r="Q37" s="9"/>
      <c r="R37" s="9"/>
      <c r="S37" s="9"/>
      <c r="T37" s="9"/>
      <c r="U37" s="10"/>
    </row>
    <row r="38" spans="1:21" s="2" customFormat="1" ht="22.5" customHeight="1" x14ac:dyDescent="0.35">
      <c r="A38" s="3"/>
      <c r="B38" s="40"/>
      <c r="C38" s="4"/>
      <c r="D38" s="4"/>
      <c r="E38" s="5"/>
      <c r="F38" s="4"/>
      <c r="G38" s="4"/>
      <c r="H38" s="5"/>
      <c r="I38" s="5"/>
      <c r="J38" s="5"/>
      <c r="K38" s="5"/>
      <c r="L38" s="5"/>
      <c r="M38" s="6"/>
      <c r="N38" s="7"/>
      <c r="O38" s="8"/>
      <c r="P38" s="9"/>
      <c r="Q38" s="9"/>
      <c r="R38" s="9"/>
      <c r="S38" s="9"/>
      <c r="T38" s="9"/>
      <c r="U38" s="10"/>
    </row>
    <row r="39" spans="1:21" s="2" customFormat="1" ht="22.5" customHeight="1" x14ac:dyDescent="0.35">
      <c r="A39" s="3"/>
      <c r="B39" s="40"/>
      <c r="C39" s="4"/>
      <c r="D39" s="4"/>
      <c r="E39" s="5"/>
      <c r="F39" s="4"/>
      <c r="G39" s="4"/>
      <c r="H39" s="5"/>
      <c r="I39" s="5"/>
      <c r="J39" s="5"/>
      <c r="K39" s="5"/>
      <c r="L39" s="5"/>
      <c r="M39" s="6"/>
      <c r="N39" s="7"/>
      <c r="O39" s="8"/>
      <c r="P39" s="9"/>
      <c r="Q39" s="9"/>
      <c r="R39" s="9"/>
      <c r="S39" s="9"/>
      <c r="T39" s="9"/>
      <c r="U39" s="10"/>
    </row>
    <row r="40" spans="1:21" s="2" customFormat="1" ht="22.5" customHeight="1" x14ac:dyDescent="0.35">
      <c r="A40" s="3"/>
      <c r="B40" s="40"/>
      <c r="C40" s="4"/>
      <c r="D40" s="4"/>
      <c r="E40" s="5"/>
      <c r="F40" s="4"/>
      <c r="G40" s="4"/>
      <c r="H40" s="5"/>
      <c r="I40" s="5"/>
      <c r="J40" s="5"/>
      <c r="K40" s="5"/>
      <c r="L40" s="5"/>
      <c r="M40" s="6"/>
      <c r="N40" s="7"/>
      <c r="O40" s="8"/>
      <c r="P40" s="9"/>
      <c r="Q40" s="9"/>
      <c r="R40" s="9"/>
      <c r="S40" s="9"/>
      <c r="T40" s="9"/>
      <c r="U40" s="10"/>
    </row>
    <row r="41" spans="1:21" s="2" customFormat="1" ht="20.149999999999999" customHeight="1" x14ac:dyDescent="0.25">
      <c r="A41" s="12"/>
      <c r="B41" s="22"/>
      <c r="C41" s="5"/>
      <c r="D41" s="30"/>
      <c r="E41" s="12"/>
      <c r="F41" s="12"/>
      <c r="G41" s="12"/>
      <c r="H41" s="12"/>
      <c r="I41" s="12"/>
      <c r="J41" s="12"/>
      <c r="K41" s="13"/>
      <c r="L41" s="13"/>
      <c r="M41" s="13"/>
      <c r="N41" s="14"/>
      <c r="O41" s="14"/>
      <c r="P41" s="9"/>
      <c r="Q41" s="9"/>
      <c r="R41" s="9"/>
      <c r="S41" s="9"/>
      <c r="T41" s="9"/>
      <c r="U41" s="13"/>
    </row>
    <row r="42" spans="1:21" s="2" customFormat="1" ht="20.149999999999999" customHeight="1" x14ac:dyDescent="0.25">
      <c r="A42" s="12"/>
      <c r="B42" s="22"/>
      <c r="C42" s="5"/>
      <c r="D42" s="30"/>
      <c r="E42" s="12"/>
      <c r="F42" s="12"/>
      <c r="G42" s="12"/>
      <c r="H42" s="12"/>
      <c r="I42" s="12"/>
      <c r="J42" s="12"/>
      <c r="K42" s="13"/>
      <c r="L42" s="13"/>
      <c r="M42" s="13"/>
      <c r="N42" s="14"/>
      <c r="O42" s="14"/>
      <c r="P42" s="9"/>
      <c r="Q42" s="9"/>
      <c r="R42" s="9"/>
      <c r="S42" s="9"/>
      <c r="T42" s="9"/>
      <c r="U42" s="13"/>
    </row>
    <row r="43" spans="1:21" s="15" customFormat="1" ht="17.5" customHeight="1" x14ac:dyDescent="0.35">
      <c r="B43" s="16" t="s">
        <v>26</v>
      </c>
      <c r="C43" s="36"/>
      <c r="D43" s="31"/>
      <c r="E43" s="22"/>
      <c r="F43"/>
      <c r="G43" s="161" t="s">
        <v>27</v>
      </c>
      <c r="H43" s="161"/>
      <c r="I43" s="161"/>
      <c r="J43"/>
      <c r="K43" s="21"/>
      <c r="L43" s="21"/>
      <c r="M43" s="23"/>
      <c r="N43" s="24"/>
      <c r="O43" s="161" t="s">
        <v>28</v>
      </c>
      <c r="P43" s="161"/>
      <c r="Q43" s="25"/>
      <c r="R43" s="24"/>
      <c r="S43" s="26"/>
      <c r="T43" s="161" t="s">
        <v>29</v>
      </c>
      <c r="U43" s="161"/>
    </row>
    <row r="44" spans="1:21" ht="20.149999999999999" customHeight="1" x14ac:dyDescent="0.3">
      <c r="A44" s="12"/>
      <c r="B44" s="22"/>
      <c r="C44" s="5"/>
      <c r="D44" s="30"/>
      <c r="E44" s="12"/>
      <c r="F44" s="12"/>
      <c r="G44" s="12"/>
      <c r="H44" s="12"/>
      <c r="I44" s="12"/>
      <c r="J44" s="12"/>
      <c r="K44" s="13"/>
      <c r="L44" s="13"/>
      <c r="M44" s="13"/>
      <c r="N44" s="17"/>
      <c r="O44" s="13"/>
      <c r="P44" s="13"/>
      <c r="Q44" s="5"/>
      <c r="R44" s="5"/>
      <c r="S44" s="5"/>
      <c r="T44" s="5"/>
      <c r="U44" s="13"/>
    </row>
    <row r="50" spans="1:21" x14ac:dyDescent="0.35">
      <c r="L50" s="18"/>
    </row>
    <row r="51" spans="1:21" s="20" customFormat="1" ht="15.5" x14ac:dyDescent="0.35">
      <c r="A51" s="1"/>
      <c r="B51" s="41"/>
      <c r="C51" s="23"/>
      <c r="D51" s="32"/>
      <c r="E51" s="1"/>
      <c r="F51" s="1"/>
      <c r="G51" s="1"/>
      <c r="H51" s="1"/>
      <c r="I51" s="1"/>
      <c r="J51" s="1"/>
      <c r="K51" s="1"/>
      <c r="L51" s="1"/>
      <c r="M51" s="1"/>
      <c r="N51" s="19"/>
      <c r="O51" s="1"/>
      <c r="P51" s="1"/>
      <c r="Q51" s="1"/>
      <c r="R51" s="1"/>
      <c r="S51" s="1"/>
      <c r="T51" s="1"/>
      <c r="U51" s="1"/>
    </row>
  </sheetData>
  <autoFilter ref="A9:U36" xr:uid="{8D5C5085-4DC4-4E6D-91C6-1E06A7207CB2}">
    <filterColumn colId="6" showButton="0"/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8" showButton="0"/>
  </autoFilter>
  <mergeCells count="36">
    <mergeCell ref="A4:D4"/>
    <mergeCell ref="E4:M4"/>
    <mergeCell ref="N4:U4"/>
    <mergeCell ref="A1:U1"/>
    <mergeCell ref="A2:U2"/>
    <mergeCell ref="A3:D3"/>
    <mergeCell ref="E3:M3"/>
    <mergeCell ref="N3:U3"/>
    <mergeCell ref="A5:D5"/>
    <mergeCell ref="E5:M5"/>
    <mergeCell ref="N5:U5"/>
    <mergeCell ref="A6:D6"/>
    <mergeCell ref="E6:M6"/>
    <mergeCell ref="N6:U6"/>
    <mergeCell ref="A7:D7"/>
    <mergeCell ref="E7:M7"/>
    <mergeCell ref="N7:U7"/>
    <mergeCell ref="A8:D8"/>
    <mergeCell ref="E8:M8"/>
    <mergeCell ref="N8:U8"/>
    <mergeCell ref="A36:O36"/>
    <mergeCell ref="G43:I43"/>
    <mergeCell ref="O43:P43"/>
    <mergeCell ref="T43:U43"/>
    <mergeCell ref="G9:J9"/>
    <mergeCell ref="K9:M9"/>
    <mergeCell ref="N9:P9"/>
    <mergeCell ref="Q9:R9"/>
    <mergeCell ref="S9:T9"/>
    <mergeCell ref="U9:U10"/>
    <mergeCell ref="A9:A10"/>
    <mergeCell ref="B9:B10"/>
    <mergeCell ref="C9:C10"/>
    <mergeCell ref="D9:D10"/>
    <mergeCell ref="E9:E10"/>
    <mergeCell ref="F9:F10"/>
  </mergeCells>
  <conditionalFormatting sqref="B36:B1048576 B1:B10">
    <cfRule type="duplicateValues" dxfId="21" priority="6"/>
  </conditionalFormatting>
  <conditionalFormatting sqref="B11:B35">
    <cfRule type="duplicateValues" dxfId="20" priority="181346"/>
    <cfRule type="duplicateValues" dxfId="19" priority="181347"/>
    <cfRule type="duplicateValues" dxfId="18" priority="181348"/>
  </conditionalFormatting>
  <hyperlinks>
    <hyperlink ref="N8" r:id="rId1" display="suresh@humanaapparels.com" xr:uid="{CD84BBDB-3617-44E9-B139-FC4A99393E4F}"/>
  </hyperlinks>
  <printOptions horizontalCentered="1"/>
  <pageMargins left="0.25" right="0.25" top="0.75" bottom="0" header="0.31496062992126" footer="0.31496062992126"/>
  <pageSetup paperSize="9" scale="52" fitToHeight="0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5A7F-98A4-4F77-91F4-1F0608621675}">
  <sheetPr>
    <pageSetUpPr fitToPage="1"/>
  </sheetPr>
  <dimension ref="A1:U32"/>
  <sheetViews>
    <sheetView zoomScale="70" zoomScaleNormal="70" zoomScaleSheetLayoutView="80" workbookViewId="0">
      <pane ySplit="10" topLeftCell="A11" activePane="bottomLeft" state="frozen"/>
      <selection activeCell="E75" sqref="E75"/>
      <selection pane="bottomLeft" activeCell="B18" sqref="B18"/>
    </sheetView>
  </sheetViews>
  <sheetFormatPr defaultColWidth="9.1796875" defaultRowHeight="14.5" x14ac:dyDescent="0.35"/>
  <cols>
    <col min="1" max="1" width="5.7265625" style="1" customWidth="1"/>
    <col min="2" max="2" width="40.453125" style="41" customWidth="1"/>
    <col min="3" max="3" width="8.26953125" style="23" customWidth="1"/>
    <col min="4" max="4" width="18.1796875" style="32" customWidth="1"/>
    <col min="5" max="5" width="11.7265625" style="1" customWidth="1"/>
    <col min="6" max="6" width="13.81640625" style="1" customWidth="1"/>
    <col min="7" max="7" width="11.54296875" style="1" customWidth="1"/>
    <col min="8" max="8" width="8.7265625" style="1" customWidth="1"/>
    <col min="9" max="9" width="8" style="1" customWidth="1"/>
    <col min="10" max="10" width="14.453125" style="1" customWidth="1"/>
    <col min="11" max="11" width="8.7265625" style="1" customWidth="1"/>
    <col min="12" max="12" width="9.26953125" style="1" customWidth="1"/>
    <col min="13" max="13" width="12.81640625" style="1" customWidth="1"/>
    <col min="14" max="14" width="8.7265625" style="19" customWidth="1"/>
    <col min="15" max="15" width="11" style="1" customWidth="1"/>
    <col min="16" max="16" width="13.7265625" style="1" customWidth="1"/>
    <col min="17" max="17" width="11.26953125" style="1" customWidth="1"/>
    <col min="18" max="18" width="9" style="1" customWidth="1"/>
    <col min="19" max="19" width="10.54296875" style="1" customWidth="1"/>
    <col min="20" max="20" width="11.7265625" style="1" customWidth="1"/>
    <col min="21" max="21" width="25.26953125" style="1" customWidth="1"/>
    <col min="22" max="16384" width="9.1796875" style="1"/>
  </cols>
  <sheetData>
    <row r="1" spans="1:21" ht="30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2"/>
    </row>
    <row r="2" spans="1:21" ht="17.5" x14ac:dyDescent="0.3">
      <c r="A2" s="143" t="s">
        <v>34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</row>
    <row r="3" spans="1:21" ht="13.5" customHeight="1" x14ac:dyDescent="0.3">
      <c r="A3" s="134" t="s">
        <v>1</v>
      </c>
      <c r="B3" s="135"/>
      <c r="C3" s="135"/>
      <c r="D3" s="136"/>
      <c r="E3" s="146" t="str">
        <f>ALL!E3</f>
        <v>HAPL/Dept./ALL/2026/August/01</v>
      </c>
      <c r="F3" s="135"/>
      <c r="G3" s="135"/>
      <c r="H3" s="135"/>
      <c r="I3" s="135"/>
      <c r="J3" s="135"/>
      <c r="K3" s="135"/>
      <c r="L3" s="135"/>
      <c r="M3" s="135"/>
      <c r="N3" s="146" t="s">
        <v>125</v>
      </c>
      <c r="O3" s="135"/>
      <c r="P3" s="135"/>
      <c r="Q3" s="135"/>
      <c r="R3" s="135"/>
      <c r="S3" s="135"/>
      <c r="T3" s="135"/>
      <c r="U3" s="147"/>
    </row>
    <row r="4" spans="1:21" ht="13.5" customHeight="1" x14ac:dyDescent="0.3">
      <c r="A4" s="134" t="s">
        <v>2</v>
      </c>
      <c r="B4" s="135"/>
      <c r="C4" s="135"/>
      <c r="D4" s="136"/>
      <c r="E4" s="137">
        <f>ALL!E4</f>
        <v>46235</v>
      </c>
      <c r="F4" s="138"/>
      <c r="G4" s="138"/>
      <c r="H4" s="138"/>
      <c r="I4" s="138"/>
      <c r="J4" s="138"/>
      <c r="K4" s="138"/>
      <c r="L4" s="138"/>
      <c r="M4" s="139"/>
      <c r="N4" s="146" t="s">
        <v>127</v>
      </c>
      <c r="O4" s="135"/>
      <c r="P4" s="135"/>
      <c r="Q4" s="135"/>
      <c r="R4" s="135"/>
      <c r="S4" s="135"/>
      <c r="T4" s="135"/>
      <c r="U4" s="147"/>
    </row>
    <row r="5" spans="1:21" ht="13.5" customHeight="1" x14ac:dyDescent="0.3">
      <c r="A5" s="134" t="s">
        <v>3</v>
      </c>
      <c r="B5" s="135"/>
      <c r="C5" s="135"/>
      <c r="D5" s="136"/>
      <c r="E5" s="154" t="str">
        <f>ALL!E5</f>
        <v>Humana Apparels Pvt. Ltd.</v>
      </c>
      <c r="F5" s="155"/>
      <c r="G5" s="155"/>
      <c r="H5" s="155"/>
      <c r="I5" s="155"/>
      <c r="J5" s="155"/>
      <c r="K5" s="155"/>
      <c r="L5" s="155"/>
      <c r="M5" s="178"/>
      <c r="N5" s="146" t="s">
        <v>128</v>
      </c>
      <c r="O5" s="135"/>
      <c r="P5" s="135"/>
      <c r="Q5" s="135"/>
      <c r="R5" s="135"/>
      <c r="S5" s="135"/>
      <c r="T5" s="135"/>
      <c r="U5" s="147"/>
    </row>
    <row r="6" spans="1:21" ht="13.5" customHeight="1" x14ac:dyDescent="0.3">
      <c r="A6" s="134" t="s">
        <v>4</v>
      </c>
      <c r="B6" s="135"/>
      <c r="C6" s="135"/>
      <c r="D6" s="136"/>
      <c r="E6" s="146" t="str">
        <f>ALL!E6</f>
        <v>ALL</v>
      </c>
      <c r="F6" s="135"/>
      <c r="G6" s="135"/>
      <c r="H6" s="135"/>
      <c r="I6" s="135"/>
      <c r="J6" s="135"/>
      <c r="K6" s="135"/>
      <c r="L6" s="135"/>
      <c r="M6" s="136"/>
      <c r="N6" s="148" t="s">
        <v>126</v>
      </c>
      <c r="O6" s="149"/>
      <c r="P6" s="149"/>
      <c r="Q6" s="149"/>
      <c r="R6" s="149"/>
      <c r="S6" s="149"/>
      <c r="T6" s="149"/>
      <c r="U6" s="150"/>
    </row>
    <row r="7" spans="1:21" ht="13.5" customHeight="1" x14ac:dyDescent="0.3">
      <c r="A7" s="134" t="s">
        <v>5</v>
      </c>
      <c r="B7" s="135"/>
      <c r="C7" s="135"/>
      <c r="D7" s="136"/>
      <c r="E7" s="146" t="str">
        <f>ALL!E7</f>
        <v>ALL</v>
      </c>
      <c r="F7" s="135"/>
      <c r="G7" s="135"/>
      <c r="H7" s="135"/>
      <c r="I7" s="135"/>
      <c r="J7" s="135"/>
      <c r="K7" s="135"/>
      <c r="L7" s="135"/>
      <c r="M7" s="136"/>
      <c r="N7" s="148" t="s">
        <v>129</v>
      </c>
      <c r="O7" s="149"/>
      <c r="P7" s="149"/>
      <c r="Q7" s="149"/>
      <c r="R7" s="149"/>
      <c r="S7" s="149"/>
      <c r="T7" s="149"/>
      <c r="U7" s="150"/>
    </row>
    <row r="8" spans="1:21" ht="13.5" customHeight="1" thickBot="1" x14ac:dyDescent="0.35">
      <c r="A8" s="156" t="s">
        <v>6</v>
      </c>
      <c r="B8" s="157"/>
      <c r="C8" s="157"/>
      <c r="D8" s="158"/>
      <c r="E8" s="186" t="str">
        <f>ALL!E8</f>
        <v>amirul@humanaapparels.com</v>
      </c>
      <c r="F8" s="152"/>
      <c r="G8" s="152"/>
      <c r="H8" s="152"/>
      <c r="I8" s="152"/>
      <c r="J8" s="152"/>
      <c r="K8" s="152"/>
      <c r="L8" s="152"/>
      <c r="M8" s="187"/>
      <c r="N8" s="151" t="s">
        <v>69</v>
      </c>
      <c r="O8" s="152"/>
      <c r="P8" s="152"/>
      <c r="Q8" s="152"/>
      <c r="R8" s="152"/>
      <c r="S8" s="152"/>
      <c r="T8" s="152"/>
      <c r="U8" s="153"/>
    </row>
    <row r="9" spans="1:21" s="64" customFormat="1" ht="25" customHeight="1" x14ac:dyDescent="0.25">
      <c r="A9" s="193" t="s">
        <v>7</v>
      </c>
      <c r="B9" s="195" t="s">
        <v>8</v>
      </c>
      <c r="C9" s="169" t="s">
        <v>30</v>
      </c>
      <c r="D9" s="169" t="s">
        <v>9</v>
      </c>
      <c r="E9" s="169" t="s">
        <v>10</v>
      </c>
      <c r="F9" s="169" t="s">
        <v>192</v>
      </c>
      <c r="G9" s="169" t="s">
        <v>11</v>
      </c>
      <c r="H9" s="169"/>
      <c r="I9" s="169"/>
      <c r="J9" s="169"/>
      <c r="K9" s="169" t="s">
        <v>12</v>
      </c>
      <c r="L9" s="169"/>
      <c r="M9" s="169"/>
      <c r="N9" s="169" t="s">
        <v>13</v>
      </c>
      <c r="O9" s="169"/>
      <c r="P9" s="169"/>
      <c r="Q9" s="169" t="s">
        <v>14</v>
      </c>
      <c r="R9" s="169"/>
      <c r="S9" s="169" t="s">
        <v>15</v>
      </c>
      <c r="T9" s="169"/>
      <c r="U9" s="191" t="s">
        <v>16</v>
      </c>
    </row>
    <row r="10" spans="1:21" s="64" customFormat="1" ht="30" customHeight="1" thickBot="1" x14ac:dyDescent="0.3">
      <c r="A10" s="194"/>
      <c r="B10" s="196"/>
      <c r="C10" s="170"/>
      <c r="D10" s="170"/>
      <c r="E10" s="170"/>
      <c r="F10" s="170"/>
      <c r="G10" s="37" t="s">
        <v>17</v>
      </c>
      <c r="H10" s="37" t="s">
        <v>18</v>
      </c>
      <c r="I10" s="37" t="s">
        <v>19</v>
      </c>
      <c r="J10" s="37" t="s">
        <v>20</v>
      </c>
      <c r="K10" s="38" t="s">
        <v>21</v>
      </c>
      <c r="L10" s="37" t="s">
        <v>31</v>
      </c>
      <c r="M10" s="37" t="s">
        <v>22</v>
      </c>
      <c r="N10" s="39" t="s">
        <v>21</v>
      </c>
      <c r="O10" s="37" t="s">
        <v>23</v>
      </c>
      <c r="P10" s="38" t="s">
        <v>24</v>
      </c>
      <c r="Q10" s="37" t="s">
        <v>32</v>
      </c>
      <c r="R10" s="38" t="s">
        <v>25</v>
      </c>
      <c r="S10" s="37" t="s">
        <v>32</v>
      </c>
      <c r="T10" s="38" t="s">
        <v>25</v>
      </c>
      <c r="U10" s="192"/>
    </row>
    <row r="11" spans="1:21" ht="36.5" customHeight="1" x14ac:dyDescent="0.3">
      <c r="A11" s="28">
        <v>1</v>
      </c>
      <c r="B11" s="59" t="s">
        <v>321</v>
      </c>
      <c r="C11" s="44" t="s">
        <v>37</v>
      </c>
      <c r="D11" s="47"/>
      <c r="E11" s="46" t="s">
        <v>103</v>
      </c>
      <c r="F11" s="49" t="s">
        <v>209</v>
      </c>
      <c r="G11" s="46">
        <v>300</v>
      </c>
      <c r="H11" s="46">
        <v>0</v>
      </c>
      <c r="I11" s="46">
        <v>5</v>
      </c>
      <c r="J11" s="46">
        <v>43</v>
      </c>
      <c r="K11" s="46">
        <v>43</v>
      </c>
      <c r="L11" s="52">
        <v>42</v>
      </c>
      <c r="M11" s="75">
        <v>46224</v>
      </c>
      <c r="N11" s="49">
        <v>300</v>
      </c>
      <c r="O11" s="77">
        <v>42</v>
      </c>
      <c r="P11" s="63">
        <v>12600</v>
      </c>
      <c r="Q11" s="29"/>
      <c r="R11" s="29"/>
      <c r="S11" s="29"/>
      <c r="T11" s="29"/>
      <c r="U11" s="48"/>
    </row>
    <row r="12" spans="1:21" ht="36.5" customHeight="1" x14ac:dyDescent="0.3">
      <c r="A12" s="28">
        <v>2</v>
      </c>
      <c r="B12" s="60" t="s">
        <v>112</v>
      </c>
      <c r="C12" s="44" t="s">
        <v>68</v>
      </c>
      <c r="D12" s="47" t="s">
        <v>111</v>
      </c>
      <c r="E12" s="46" t="s">
        <v>103</v>
      </c>
      <c r="F12" s="49" t="s">
        <v>46</v>
      </c>
      <c r="G12" s="44">
        <v>20</v>
      </c>
      <c r="H12" s="46">
        <v>0</v>
      </c>
      <c r="I12" s="46">
        <v>0</v>
      </c>
      <c r="J12" s="46">
        <v>0</v>
      </c>
      <c r="K12" s="46">
        <v>30</v>
      </c>
      <c r="L12" s="52">
        <v>65</v>
      </c>
      <c r="M12" s="75">
        <v>45566</v>
      </c>
      <c r="N12" s="49">
        <v>20</v>
      </c>
      <c r="O12" s="77">
        <v>65</v>
      </c>
      <c r="P12" s="63">
        <v>1300</v>
      </c>
      <c r="Q12" s="29"/>
      <c r="R12" s="29"/>
      <c r="S12" s="29"/>
      <c r="T12" s="29"/>
      <c r="U12" s="48"/>
    </row>
    <row r="13" spans="1:21" ht="36.5" customHeight="1" x14ac:dyDescent="0.3">
      <c r="A13" s="28">
        <v>3</v>
      </c>
      <c r="B13" s="60" t="s">
        <v>113</v>
      </c>
      <c r="C13" s="44" t="s">
        <v>68</v>
      </c>
      <c r="D13" s="47" t="s">
        <v>111</v>
      </c>
      <c r="E13" s="46" t="s">
        <v>103</v>
      </c>
      <c r="F13" s="46" t="s">
        <v>46</v>
      </c>
      <c r="G13" s="44">
        <v>30</v>
      </c>
      <c r="H13" s="46">
        <v>0</v>
      </c>
      <c r="I13" s="46">
        <v>0</v>
      </c>
      <c r="J13" s="46">
        <v>0</v>
      </c>
      <c r="K13" s="46">
        <v>40</v>
      </c>
      <c r="L13" s="52">
        <v>68.25</v>
      </c>
      <c r="M13" s="75">
        <v>45859</v>
      </c>
      <c r="N13" s="49">
        <v>30</v>
      </c>
      <c r="O13" s="77">
        <v>68.25</v>
      </c>
      <c r="P13" s="63">
        <v>2047.5</v>
      </c>
      <c r="Q13" s="29"/>
      <c r="R13" s="29"/>
      <c r="S13" s="29"/>
      <c r="T13" s="29"/>
      <c r="U13" s="48"/>
    </row>
    <row r="14" spans="1:21" ht="36.5" customHeight="1" thickBot="1" x14ac:dyDescent="0.35">
      <c r="A14" s="28">
        <v>4</v>
      </c>
      <c r="B14" s="60" t="s">
        <v>275</v>
      </c>
      <c r="C14" s="44" t="s">
        <v>37</v>
      </c>
      <c r="D14" s="47"/>
      <c r="E14" s="46" t="s">
        <v>103</v>
      </c>
      <c r="F14" s="46" t="s">
        <v>27</v>
      </c>
      <c r="G14" s="44">
        <v>1000</v>
      </c>
      <c r="H14" s="46">
        <v>0</v>
      </c>
      <c r="I14" s="46">
        <v>115</v>
      </c>
      <c r="J14" s="46">
        <v>1000</v>
      </c>
      <c r="K14" s="46">
        <v>1000</v>
      </c>
      <c r="L14" s="52">
        <v>2.62</v>
      </c>
      <c r="M14" s="75">
        <v>46083</v>
      </c>
      <c r="N14" s="49">
        <v>1000</v>
      </c>
      <c r="O14" s="77">
        <v>2.62</v>
      </c>
      <c r="P14" s="63">
        <v>2620</v>
      </c>
      <c r="Q14" s="29"/>
      <c r="R14" s="29"/>
      <c r="S14" s="29"/>
      <c r="T14" s="29"/>
      <c r="U14" s="48"/>
    </row>
    <row r="15" spans="1:21" s="35" customFormat="1" ht="22.5" customHeight="1" thickBot="1" x14ac:dyDescent="0.4">
      <c r="A15" s="184" t="s">
        <v>35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26">
        <f>SUM(P11:P14)</f>
        <v>18567.5</v>
      </c>
      <c r="Q15" s="33"/>
      <c r="R15" s="33"/>
      <c r="S15" s="33"/>
      <c r="T15" s="33"/>
      <c r="U15" s="34"/>
    </row>
    <row r="16" spans="1:21" s="2" customFormat="1" ht="22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5"/>
      <c r="K16" s="5"/>
      <c r="L16" s="5"/>
      <c r="M16" s="6"/>
      <c r="N16" s="7"/>
      <c r="O16" s="8"/>
      <c r="P16" s="9"/>
      <c r="Q16" s="9"/>
      <c r="R16" s="9"/>
      <c r="S16" s="9"/>
      <c r="T16" s="9"/>
      <c r="U16" s="10"/>
    </row>
    <row r="17" spans="1:21" s="2" customFormat="1" ht="19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5"/>
      <c r="K17" s="5"/>
      <c r="L17" s="5"/>
      <c r="M17" s="6"/>
      <c r="N17" s="7"/>
      <c r="O17" s="11"/>
      <c r="P17" s="9"/>
      <c r="Q17" s="9"/>
      <c r="R17" s="9"/>
      <c r="S17" s="9"/>
      <c r="T17" s="9"/>
      <c r="U17" s="10"/>
    </row>
    <row r="18" spans="1:21" s="2" customFormat="1" ht="19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5"/>
      <c r="K18" s="5"/>
      <c r="L18" s="5"/>
      <c r="M18" s="6"/>
      <c r="N18" s="7"/>
      <c r="O18" s="11"/>
      <c r="P18" s="9"/>
      <c r="Q18" s="9"/>
      <c r="R18" s="9"/>
      <c r="S18" s="9"/>
      <c r="T18" s="9"/>
      <c r="U18" s="10"/>
    </row>
    <row r="19" spans="1:21" s="2" customFormat="1" ht="19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5"/>
      <c r="K19" s="5"/>
      <c r="L19" s="5"/>
      <c r="M19" s="6"/>
      <c r="N19" s="7"/>
      <c r="O19" s="11"/>
      <c r="P19" s="9"/>
      <c r="Q19" s="9"/>
      <c r="R19" s="9"/>
      <c r="S19" s="9"/>
      <c r="T19" s="9"/>
      <c r="U19" s="10"/>
    </row>
    <row r="20" spans="1:21" s="2" customFormat="1" ht="19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5"/>
      <c r="K20" s="5"/>
      <c r="L20" s="5"/>
      <c r="M20" s="6"/>
      <c r="N20" s="7"/>
      <c r="O20" s="11"/>
      <c r="P20" s="9"/>
      <c r="Q20" s="9"/>
      <c r="R20" s="9"/>
      <c r="S20" s="9"/>
      <c r="T20" s="9"/>
      <c r="U20" s="10"/>
    </row>
    <row r="21" spans="1:21" s="2" customFormat="1" ht="19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5"/>
      <c r="K21" s="5"/>
      <c r="L21" s="5"/>
      <c r="M21" s="6"/>
      <c r="N21" s="7"/>
      <c r="O21" s="11"/>
      <c r="P21" s="9"/>
      <c r="Q21" s="9"/>
      <c r="R21" s="9"/>
      <c r="S21" s="9"/>
      <c r="T21" s="9"/>
      <c r="U21" s="10"/>
    </row>
    <row r="22" spans="1:21" s="2" customFormat="1" ht="20.149999999999999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2"/>
      <c r="K22" s="13"/>
      <c r="L22" s="13"/>
      <c r="M22" s="13"/>
      <c r="N22" s="14"/>
      <c r="O22" s="14"/>
      <c r="P22" s="9"/>
      <c r="Q22" s="9"/>
      <c r="R22" s="9"/>
      <c r="S22" s="9"/>
      <c r="T22" s="9"/>
      <c r="U22" s="13"/>
    </row>
    <row r="23" spans="1:21" s="2" customFormat="1" ht="20.149999999999999" customHeight="1" x14ac:dyDescent="0.25">
      <c r="A23" s="12"/>
      <c r="B23" s="22"/>
      <c r="C23" s="5"/>
      <c r="D23" s="30"/>
      <c r="E23" s="12"/>
      <c r="F23" s="12"/>
      <c r="G23" s="12"/>
      <c r="H23" s="12"/>
      <c r="I23" s="12"/>
      <c r="J23" s="12"/>
      <c r="K23" s="13"/>
      <c r="L23" s="13"/>
      <c r="M23" s="13"/>
      <c r="N23" s="14"/>
      <c r="O23" s="14"/>
      <c r="P23" s="9"/>
      <c r="Q23" s="9"/>
      <c r="R23" s="9"/>
      <c r="S23" s="9"/>
      <c r="T23" s="9"/>
      <c r="U23" s="13"/>
    </row>
    <row r="24" spans="1:21" s="15" customFormat="1" ht="17.5" customHeight="1" x14ac:dyDescent="0.35">
      <c r="B24" s="16" t="s">
        <v>26</v>
      </c>
      <c r="C24" s="36"/>
      <c r="D24" s="31"/>
      <c r="E24" s="22"/>
      <c r="F24"/>
      <c r="G24" s="161" t="s">
        <v>27</v>
      </c>
      <c r="H24" s="161"/>
      <c r="I24" s="161"/>
      <c r="J24"/>
      <c r="K24" s="21"/>
      <c r="L24" s="21"/>
      <c r="M24" s="23"/>
      <c r="N24" s="24"/>
      <c r="O24" s="161" t="s">
        <v>28</v>
      </c>
      <c r="P24" s="161"/>
      <c r="Q24" s="25"/>
      <c r="R24" s="24"/>
      <c r="S24" s="26"/>
      <c r="T24" s="161" t="s">
        <v>29</v>
      </c>
      <c r="U24" s="161"/>
    </row>
    <row r="25" spans="1:21" ht="20.149999999999999" customHeight="1" x14ac:dyDescent="0.3">
      <c r="A25" s="12"/>
      <c r="B25" s="22"/>
      <c r="C25" s="5"/>
      <c r="D25" s="30"/>
      <c r="E25" s="12"/>
      <c r="F25" s="12"/>
      <c r="G25" s="12"/>
      <c r="H25" s="12"/>
      <c r="I25" s="12"/>
      <c r="J25" s="12"/>
      <c r="K25" s="13"/>
      <c r="L25" s="13"/>
      <c r="M25" s="13"/>
      <c r="N25" s="17"/>
      <c r="O25" s="13"/>
      <c r="P25" s="13"/>
      <c r="Q25" s="5"/>
      <c r="R25" s="5"/>
      <c r="S25" s="5"/>
      <c r="T25" s="5"/>
      <c r="U25" s="13"/>
    </row>
    <row r="31" spans="1:21" x14ac:dyDescent="0.35">
      <c r="L31" s="18"/>
    </row>
    <row r="32" spans="1:21" s="20" customFormat="1" ht="15.5" x14ac:dyDescent="0.35">
      <c r="A32" s="1"/>
      <c r="B32" s="41"/>
      <c r="C32" s="23"/>
      <c r="D32" s="32"/>
      <c r="E32" s="1"/>
      <c r="F32" s="1"/>
      <c r="G32" s="1"/>
      <c r="H32" s="1"/>
      <c r="I32" s="1"/>
      <c r="J32" s="1"/>
      <c r="K32" s="1"/>
      <c r="L32" s="1"/>
      <c r="M32" s="1"/>
      <c r="N32" s="19"/>
      <c r="O32" s="1"/>
      <c r="P32" s="1"/>
      <c r="Q32" s="1"/>
      <c r="R32" s="1"/>
      <c r="S32" s="1"/>
      <c r="T32" s="1"/>
      <c r="U32" s="1"/>
    </row>
  </sheetData>
  <mergeCells count="36">
    <mergeCell ref="A4:D4"/>
    <mergeCell ref="E4:M4"/>
    <mergeCell ref="N4:U4"/>
    <mergeCell ref="A1:U1"/>
    <mergeCell ref="A2:U2"/>
    <mergeCell ref="A3:D3"/>
    <mergeCell ref="E3:M3"/>
    <mergeCell ref="N3:U3"/>
    <mergeCell ref="A5:D5"/>
    <mergeCell ref="E5:M5"/>
    <mergeCell ref="N5:U5"/>
    <mergeCell ref="A6:D6"/>
    <mergeCell ref="E6:M6"/>
    <mergeCell ref="N6:U6"/>
    <mergeCell ref="A7:D7"/>
    <mergeCell ref="E7:M7"/>
    <mergeCell ref="N7:U7"/>
    <mergeCell ref="A8:D8"/>
    <mergeCell ref="E8:M8"/>
    <mergeCell ref="N8:U8"/>
    <mergeCell ref="A15:O15"/>
    <mergeCell ref="G24:I24"/>
    <mergeCell ref="O24:P24"/>
    <mergeCell ref="T24:U24"/>
    <mergeCell ref="G9:J9"/>
    <mergeCell ref="K9:M9"/>
    <mergeCell ref="N9:P9"/>
    <mergeCell ref="Q9:R9"/>
    <mergeCell ref="S9:T9"/>
    <mergeCell ref="U9:U10"/>
    <mergeCell ref="A9:A10"/>
    <mergeCell ref="B9:B10"/>
    <mergeCell ref="C9:C10"/>
    <mergeCell ref="D9:D10"/>
    <mergeCell ref="E9:E10"/>
    <mergeCell ref="F9:F10"/>
  </mergeCells>
  <conditionalFormatting sqref="B23:B1048576 B15 B1:B10">
    <cfRule type="duplicateValues" dxfId="17" priority="11"/>
  </conditionalFormatting>
  <conditionalFormatting sqref="B11:B14">
    <cfRule type="duplicateValues" dxfId="16" priority="181349"/>
    <cfRule type="duplicateValues" dxfId="15" priority="181350"/>
    <cfRule type="duplicateValues" dxfId="14" priority="181351"/>
  </conditionalFormatting>
  <hyperlinks>
    <hyperlink ref="N8" r:id="rId1" display="suresh@humanaapparels.com" xr:uid="{6B39F53D-E36B-4903-8CBE-61BC8D5DC49F}"/>
  </hyperlinks>
  <printOptions horizontalCentered="1"/>
  <pageMargins left="0.25" right="0.25" top="1.25" bottom="0.25" header="0.31496062992126" footer="0.31496062992126"/>
  <pageSetup paperSize="9" scale="52" fitToHeight="0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4C21-55B0-4806-9D81-E6B335F5FC52}">
  <sheetPr>
    <pageSetUpPr fitToPage="1"/>
  </sheetPr>
  <dimension ref="A1:U43"/>
  <sheetViews>
    <sheetView zoomScale="70" zoomScaleNormal="70" zoomScaleSheetLayoutView="80" workbookViewId="0">
      <pane ySplit="10" topLeftCell="A11" activePane="bottomLeft" state="frozen"/>
      <selection activeCell="E75" sqref="E75"/>
      <selection pane="bottomLeft" activeCell="B12" sqref="B12"/>
    </sheetView>
  </sheetViews>
  <sheetFormatPr defaultColWidth="9.1796875" defaultRowHeight="14.5" x14ac:dyDescent="0.35"/>
  <cols>
    <col min="1" max="1" width="5.7265625" style="1" customWidth="1"/>
    <col min="2" max="2" width="40.453125" style="41" customWidth="1"/>
    <col min="3" max="3" width="8.26953125" style="23" customWidth="1"/>
    <col min="4" max="4" width="23.81640625" style="32" customWidth="1"/>
    <col min="5" max="5" width="11.7265625" style="1" customWidth="1"/>
    <col min="6" max="6" width="16.453125" style="1" customWidth="1"/>
    <col min="7" max="7" width="11.54296875" style="1" customWidth="1"/>
    <col min="8" max="8" width="8.7265625" style="1" customWidth="1"/>
    <col min="9" max="9" width="8" style="1" customWidth="1"/>
    <col min="10" max="10" width="14.453125" style="1" customWidth="1"/>
    <col min="11" max="11" width="8.7265625" style="1" customWidth="1"/>
    <col min="12" max="12" width="9.26953125" style="1" customWidth="1"/>
    <col min="13" max="13" width="12.81640625" style="1" customWidth="1"/>
    <col min="14" max="14" width="8.7265625" style="19" customWidth="1"/>
    <col min="15" max="15" width="11" style="1" customWidth="1"/>
    <col min="16" max="16" width="13.7265625" style="1" customWidth="1"/>
    <col min="17" max="20" width="12.1796875" style="1" customWidth="1"/>
    <col min="21" max="21" width="25.26953125" style="1" customWidth="1"/>
    <col min="22" max="16384" width="9.1796875" style="1"/>
  </cols>
  <sheetData>
    <row r="1" spans="1:21" ht="30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2"/>
    </row>
    <row r="2" spans="1:21" ht="17.5" x14ac:dyDescent="0.3">
      <c r="A2" s="143" t="s">
        <v>34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</row>
    <row r="3" spans="1:21" ht="13.5" customHeight="1" x14ac:dyDescent="0.3">
      <c r="A3" s="134" t="s">
        <v>1</v>
      </c>
      <c r="B3" s="135"/>
      <c r="C3" s="135"/>
      <c r="D3" s="136"/>
      <c r="E3" s="146" t="str">
        <f>ALL!E3</f>
        <v>HAPL/Dept./ALL/2026/August/01</v>
      </c>
      <c r="F3" s="135"/>
      <c r="G3" s="135"/>
      <c r="H3" s="135"/>
      <c r="I3" s="135"/>
      <c r="J3" s="135"/>
      <c r="K3" s="135"/>
      <c r="L3" s="135"/>
      <c r="M3" s="135"/>
      <c r="N3" s="146" t="s">
        <v>125</v>
      </c>
      <c r="O3" s="135"/>
      <c r="P3" s="135"/>
      <c r="Q3" s="135"/>
      <c r="R3" s="135"/>
      <c r="S3" s="135"/>
      <c r="T3" s="135"/>
      <c r="U3" s="147"/>
    </row>
    <row r="4" spans="1:21" ht="13.5" customHeight="1" x14ac:dyDescent="0.3">
      <c r="A4" s="134" t="s">
        <v>2</v>
      </c>
      <c r="B4" s="135"/>
      <c r="C4" s="135"/>
      <c r="D4" s="136"/>
      <c r="E4" s="137">
        <f>ALL!E4</f>
        <v>46235</v>
      </c>
      <c r="F4" s="138"/>
      <c r="G4" s="138"/>
      <c r="H4" s="138"/>
      <c r="I4" s="138"/>
      <c r="J4" s="138"/>
      <c r="K4" s="138"/>
      <c r="L4" s="138"/>
      <c r="M4" s="139"/>
      <c r="N4" s="146" t="s">
        <v>127</v>
      </c>
      <c r="O4" s="135"/>
      <c r="P4" s="135"/>
      <c r="Q4" s="135"/>
      <c r="R4" s="135"/>
      <c r="S4" s="135"/>
      <c r="T4" s="135"/>
      <c r="U4" s="147"/>
    </row>
    <row r="5" spans="1:21" ht="13.5" customHeight="1" x14ac:dyDescent="0.3">
      <c r="A5" s="134" t="s">
        <v>3</v>
      </c>
      <c r="B5" s="135"/>
      <c r="C5" s="135"/>
      <c r="D5" s="136"/>
      <c r="E5" s="154" t="str">
        <f>ALL!E5</f>
        <v>Humana Apparels Pvt. Ltd.</v>
      </c>
      <c r="F5" s="155"/>
      <c r="G5" s="155"/>
      <c r="H5" s="155"/>
      <c r="I5" s="155"/>
      <c r="J5" s="155"/>
      <c r="K5" s="155"/>
      <c r="L5" s="155"/>
      <c r="M5" s="178"/>
      <c r="N5" s="146" t="s">
        <v>128</v>
      </c>
      <c r="O5" s="135"/>
      <c r="P5" s="135"/>
      <c r="Q5" s="135"/>
      <c r="R5" s="135"/>
      <c r="S5" s="135"/>
      <c r="T5" s="135"/>
      <c r="U5" s="147"/>
    </row>
    <row r="6" spans="1:21" ht="13.5" customHeight="1" x14ac:dyDescent="0.3">
      <c r="A6" s="134" t="s">
        <v>4</v>
      </c>
      <c r="B6" s="135"/>
      <c r="C6" s="135"/>
      <c r="D6" s="136"/>
      <c r="E6" s="146" t="str">
        <f>ALL!E6</f>
        <v>ALL</v>
      </c>
      <c r="F6" s="135"/>
      <c r="G6" s="135"/>
      <c r="H6" s="135"/>
      <c r="I6" s="135"/>
      <c r="J6" s="135"/>
      <c r="K6" s="135"/>
      <c r="L6" s="135"/>
      <c r="M6" s="136"/>
      <c r="N6" s="148" t="s">
        <v>126</v>
      </c>
      <c r="O6" s="149"/>
      <c r="P6" s="149"/>
      <c r="Q6" s="149"/>
      <c r="R6" s="149"/>
      <c r="S6" s="149"/>
      <c r="T6" s="149"/>
      <c r="U6" s="150"/>
    </row>
    <row r="7" spans="1:21" ht="13.5" customHeight="1" x14ac:dyDescent="0.3">
      <c r="A7" s="134" t="s">
        <v>5</v>
      </c>
      <c r="B7" s="135"/>
      <c r="C7" s="135"/>
      <c r="D7" s="136"/>
      <c r="E7" s="146" t="str">
        <f>ALL!E7</f>
        <v>ALL</v>
      </c>
      <c r="F7" s="135"/>
      <c r="G7" s="135"/>
      <c r="H7" s="135"/>
      <c r="I7" s="135"/>
      <c r="J7" s="135"/>
      <c r="K7" s="135"/>
      <c r="L7" s="135"/>
      <c r="M7" s="136"/>
      <c r="N7" s="148" t="s">
        <v>129</v>
      </c>
      <c r="O7" s="149"/>
      <c r="P7" s="149"/>
      <c r="Q7" s="149"/>
      <c r="R7" s="149"/>
      <c r="S7" s="149"/>
      <c r="T7" s="149"/>
      <c r="U7" s="150"/>
    </row>
    <row r="8" spans="1:21" ht="13.5" customHeight="1" thickBot="1" x14ac:dyDescent="0.35">
      <c r="A8" s="156" t="s">
        <v>6</v>
      </c>
      <c r="B8" s="157"/>
      <c r="C8" s="157"/>
      <c r="D8" s="158"/>
      <c r="E8" s="186" t="str">
        <f>ALL!E8</f>
        <v>amirul@humanaapparels.com</v>
      </c>
      <c r="F8" s="152"/>
      <c r="G8" s="152"/>
      <c r="H8" s="152"/>
      <c r="I8" s="152"/>
      <c r="J8" s="152"/>
      <c r="K8" s="152"/>
      <c r="L8" s="152"/>
      <c r="M8" s="187"/>
      <c r="N8" s="151" t="s">
        <v>69</v>
      </c>
      <c r="O8" s="152"/>
      <c r="P8" s="152"/>
      <c r="Q8" s="152"/>
      <c r="R8" s="152"/>
      <c r="S8" s="152"/>
      <c r="T8" s="152"/>
      <c r="U8" s="153"/>
    </row>
    <row r="9" spans="1:21" ht="29.5" customHeight="1" x14ac:dyDescent="0.3">
      <c r="A9" s="165" t="s">
        <v>7</v>
      </c>
      <c r="B9" s="182" t="s">
        <v>8</v>
      </c>
      <c r="C9" s="171" t="s">
        <v>30</v>
      </c>
      <c r="D9" s="171" t="s">
        <v>207</v>
      </c>
      <c r="E9" s="171" t="s">
        <v>10</v>
      </c>
      <c r="F9" s="171" t="s">
        <v>33</v>
      </c>
      <c r="G9" s="171" t="s">
        <v>11</v>
      </c>
      <c r="H9" s="171"/>
      <c r="I9" s="171"/>
      <c r="J9" s="171"/>
      <c r="K9" s="171" t="s">
        <v>12</v>
      </c>
      <c r="L9" s="171"/>
      <c r="M9" s="171"/>
      <c r="N9" s="171" t="s">
        <v>13</v>
      </c>
      <c r="O9" s="171"/>
      <c r="P9" s="171"/>
      <c r="Q9" s="171" t="s">
        <v>67</v>
      </c>
      <c r="R9" s="171"/>
      <c r="S9" s="171" t="s">
        <v>15</v>
      </c>
      <c r="T9" s="171"/>
      <c r="U9" s="173" t="s">
        <v>16</v>
      </c>
    </row>
    <row r="10" spans="1:21" ht="30" customHeight="1" thickBot="1" x14ac:dyDescent="0.35">
      <c r="A10" s="166"/>
      <c r="B10" s="183"/>
      <c r="C10" s="172"/>
      <c r="D10" s="172"/>
      <c r="E10" s="172"/>
      <c r="F10" s="172"/>
      <c r="G10" s="37" t="s">
        <v>17</v>
      </c>
      <c r="H10" s="37" t="s">
        <v>18</v>
      </c>
      <c r="I10" s="37" t="s">
        <v>19</v>
      </c>
      <c r="J10" s="37" t="s">
        <v>20</v>
      </c>
      <c r="K10" s="38" t="s">
        <v>21</v>
      </c>
      <c r="L10" s="37" t="s">
        <v>31</v>
      </c>
      <c r="M10" s="37" t="s">
        <v>22</v>
      </c>
      <c r="N10" s="39" t="s">
        <v>21</v>
      </c>
      <c r="O10" s="37" t="s">
        <v>23</v>
      </c>
      <c r="P10" s="38" t="s">
        <v>24</v>
      </c>
      <c r="Q10" s="37" t="s">
        <v>32</v>
      </c>
      <c r="R10" s="38" t="s">
        <v>25</v>
      </c>
      <c r="S10" s="37" t="s">
        <v>32</v>
      </c>
      <c r="T10" s="38" t="s">
        <v>25</v>
      </c>
      <c r="U10" s="174"/>
    </row>
    <row r="11" spans="1:21" ht="30" customHeight="1" x14ac:dyDescent="0.3">
      <c r="A11" s="28">
        <v>2</v>
      </c>
      <c r="B11" s="44" t="s">
        <v>351</v>
      </c>
      <c r="C11" s="44" t="s">
        <v>37</v>
      </c>
      <c r="D11" s="43" t="s">
        <v>194</v>
      </c>
      <c r="E11" s="46" t="s">
        <v>42</v>
      </c>
      <c r="F11" s="49" t="s">
        <v>193</v>
      </c>
      <c r="G11" s="92">
        <v>60</v>
      </c>
      <c r="H11" s="93">
        <f>_xlfn.XLOOKUP(B11,'[1]Stock July-26'!$D:$D,'[1]Stock July-26'!$Q:$Q,0,0)</f>
        <v>0</v>
      </c>
      <c r="I11" s="93">
        <f t="shared" ref="I11:I27" si="0">ROUND(J11/26*3,0)</f>
        <v>0</v>
      </c>
      <c r="J11" s="93">
        <f>_xlfn.XLOOKUP(B11,'[1]Stock June-26 '!$D:$D,'[1]Stock June-26 '!$O:$O,0,0)</f>
        <v>0</v>
      </c>
      <c r="K11" s="122">
        <v>0</v>
      </c>
      <c r="L11" s="93">
        <v>0</v>
      </c>
      <c r="M11" s="94">
        <v>0</v>
      </c>
      <c r="N11" s="95">
        <f t="shared" ref="N11:N27" si="1">(G11+I11)-H11</f>
        <v>60</v>
      </c>
      <c r="O11" s="93">
        <f t="shared" ref="O11:O27" si="2">L11</f>
        <v>0</v>
      </c>
      <c r="P11" s="96">
        <f t="shared" ref="P11:P27" si="3">N11*O11</f>
        <v>0</v>
      </c>
      <c r="Q11" s="29"/>
      <c r="R11" s="29"/>
      <c r="S11" s="29"/>
      <c r="T11" s="29"/>
      <c r="U11" s="48"/>
    </row>
    <row r="12" spans="1:21" ht="30" customHeight="1" x14ac:dyDescent="0.3">
      <c r="A12" s="28">
        <v>3</v>
      </c>
      <c r="B12" s="44" t="s">
        <v>335</v>
      </c>
      <c r="C12" s="44" t="s">
        <v>37</v>
      </c>
      <c r="D12" s="43" t="s">
        <v>195</v>
      </c>
      <c r="E12" s="46" t="s">
        <v>42</v>
      </c>
      <c r="F12" s="49" t="s">
        <v>193</v>
      </c>
      <c r="G12" s="92">
        <v>100</v>
      </c>
      <c r="H12" s="93">
        <f>_xlfn.XLOOKUP(B12,'[1]Stock July-26'!$D:$D,'[1]Stock July-26'!$Q:$Q,0,0)</f>
        <v>0</v>
      </c>
      <c r="I12" s="93">
        <f t="shared" si="0"/>
        <v>0</v>
      </c>
      <c r="J12" s="93">
        <f>_xlfn.XLOOKUP(B12,'[1]Stock June-26 '!$D:$D,'[1]Stock June-26 '!$O:$O,0,0)</f>
        <v>0</v>
      </c>
      <c r="K12" s="122">
        <v>0</v>
      </c>
      <c r="L12" s="93">
        <v>0</v>
      </c>
      <c r="M12" s="94">
        <v>0</v>
      </c>
      <c r="N12" s="95">
        <f t="shared" si="1"/>
        <v>100</v>
      </c>
      <c r="O12" s="93">
        <f t="shared" si="2"/>
        <v>0</v>
      </c>
      <c r="P12" s="96">
        <f t="shared" si="3"/>
        <v>0</v>
      </c>
      <c r="Q12" s="29"/>
      <c r="R12" s="29"/>
      <c r="S12" s="29"/>
      <c r="T12" s="29"/>
      <c r="U12" s="48"/>
    </row>
    <row r="13" spans="1:21" ht="30" customHeight="1" x14ac:dyDescent="0.3">
      <c r="A13" s="28">
        <v>1</v>
      </c>
      <c r="B13" s="44" t="s">
        <v>336</v>
      </c>
      <c r="C13" s="44" t="s">
        <v>37</v>
      </c>
      <c r="D13" s="43" t="s">
        <v>194</v>
      </c>
      <c r="E13" s="46" t="s">
        <v>42</v>
      </c>
      <c r="F13" s="49" t="s">
        <v>193</v>
      </c>
      <c r="G13" s="92">
        <v>200</v>
      </c>
      <c r="H13" s="93">
        <f>_xlfn.XLOOKUP(B13,'[1]Stock July-26'!$D:$D,'[1]Stock July-26'!$Q:$Q,0,0)</f>
        <v>0</v>
      </c>
      <c r="I13" s="93">
        <f t="shared" si="0"/>
        <v>0</v>
      </c>
      <c r="J13" s="93">
        <f>_xlfn.XLOOKUP(B13,'[1]Stock June-26 '!$D:$D,'[1]Stock June-26 '!$O:$O,0,0)</f>
        <v>0</v>
      </c>
      <c r="K13" s="122">
        <v>0</v>
      </c>
      <c r="L13" s="93">
        <v>0</v>
      </c>
      <c r="M13" s="94">
        <v>0</v>
      </c>
      <c r="N13" s="95">
        <f t="shared" si="1"/>
        <v>200</v>
      </c>
      <c r="O13" s="93">
        <f t="shared" si="2"/>
        <v>0</v>
      </c>
      <c r="P13" s="96">
        <f t="shared" si="3"/>
        <v>0</v>
      </c>
      <c r="Q13" s="29"/>
      <c r="R13" s="29"/>
      <c r="S13" s="29"/>
      <c r="T13" s="29"/>
      <c r="U13" s="48"/>
    </row>
    <row r="14" spans="1:21" ht="30" customHeight="1" x14ac:dyDescent="0.3">
      <c r="A14" s="28">
        <v>2</v>
      </c>
      <c r="B14" s="44" t="s">
        <v>337</v>
      </c>
      <c r="C14" s="44" t="s">
        <v>37</v>
      </c>
      <c r="D14" s="43" t="s">
        <v>196</v>
      </c>
      <c r="E14" s="46" t="s">
        <v>42</v>
      </c>
      <c r="F14" s="49" t="s">
        <v>193</v>
      </c>
      <c r="G14" s="92">
        <v>300</v>
      </c>
      <c r="H14" s="93">
        <f>_xlfn.XLOOKUP(B14,'[1]Stock July-26'!$D:$D,'[1]Stock July-26'!$Q:$Q,0,0)</f>
        <v>0</v>
      </c>
      <c r="I14" s="93">
        <f t="shared" si="0"/>
        <v>0</v>
      </c>
      <c r="J14" s="93">
        <f>_xlfn.XLOOKUP(B14,'[1]Stock June-26 '!$D:$D,'[1]Stock June-26 '!$O:$O,0,0)</f>
        <v>0</v>
      </c>
      <c r="K14" s="122">
        <v>0</v>
      </c>
      <c r="L14" s="93">
        <v>0</v>
      </c>
      <c r="M14" s="94">
        <v>0</v>
      </c>
      <c r="N14" s="95">
        <f t="shared" si="1"/>
        <v>300</v>
      </c>
      <c r="O14" s="93">
        <f t="shared" si="2"/>
        <v>0</v>
      </c>
      <c r="P14" s="96">
        <f t="shared" si="3"/>
        <v>0</v>
      </c>
      <c r="Q14" s="29"/>
      <c r="R14" s="29"/>
      <c r="S14" s="29"/>
      <c r="T14" s="29"/>
      <c r="U14" s="48"/>
    </row>
    <row r="15" spans="1:21" ht="30" customHeight="1" x14ac:dyDescent="0.3">
      <c r="A15" s="28">
        <v>3</v>
      </c>
      <c r="B15" s="44" t="s">
        <v>338</v>
      </c>
      <c r="C15" s="44" t="s">
        <v>37</v>
      </c>
      <c r="D15" s="43" t="s">
        <v>197</v>
      </c>
      <c r="E15" s="46" t="s">
        <v>42</v>
      </c>
      <c r="F15" s="49" t="s">
        <v>193</v>
      </c>
      <c r="G15" s="92">
        <v>300</v>
      </c>
      <c r="H15" s="93">
        <f>_xlfn.XLOOKUP(B15,'[1]Stock July-26'!$D:$D,'[1]Stock July-26'!$Q:$Q,0,0)</f>
        <v>0</v>
      </c>
      <c r="I15" s="93">
        <f t="shared" si="0"/>
        <v>0</v>
      </c>
      <c r="J15" s="93">
        <f>_xlfn.XLOOKUP(B15,'[1]Stock June-26 '!$D:$D,'[1]Stock June-26 '!$O:$O,0,0)</f>
        <v>0</v>
      </c>
      <c r="K15" s="122">
        <v>0</v>
      </c>
      <c r="L15" s="93">
        <v>0</v>
      </c>
      <c r="M15" s="94">
        <v>0</v>
      </c>
      <c r="N15" s="95">
        <f t="shared" si="1"/>
        <v>300</v>
      </c>
      <c r="O15" s="93">
        <f t="shared" si="2"/>
        <v>0</v>
      </c>
      <c r="P15" s="96">
        <f t="shared" si="3"/>
        <v>0</v>
      </c>
      <c r="Q15" s="29"/>
      <c r="R15" s="29"/>
      <c r="S15" s="29"/>
      <c r="T15" s="29"/>
      <c r="U15" s="48"/>
    </row>
    <row r="16" spans="1:21" ht="30" customHeight="1" x14ac:dyDescent="0.3">
      <c r="A16" s="28">
        <v>1</v>
      </c>
      <c r="B16" s="44" t="s">
        <v>339</v>
      </c>
      <c r="C16" s="44" t="s">
        <v>37</v>
      </c>
      <c r="D16" s="43" t="s">
        <v>198</v>
      </c>
      <c r="E16" s="46" t="s">
        <v>42</v>
      </c>
      <c r="F16" s="49" t="s">
        <v>193</v>
      </c>
      <c r="G16" s="92">
        <v>50</v>
      </c>
      <c r="H16" s="93">
        <f>_xlfn.XLOOKUP(B16,'[1]Stock July-26'!$D:$D,'[1]Stock July-26'!$Q:$Q,0,0)</f>
        <v>0</v>
      </c>
      <c r="I16" s="93">
        <f t="shared" si="0"/>
        <v>0</v>
      </c>
      <c r="J16" s="93">
        <f>_xlfn.XLOOKUP(B16,'[1]Stock June-26 '!$D:$D,'[1]Stock June-26 '!$O:$O,0,0)</f>
        <v>0</v>
      </c>
      <c r="K16" s="122">
        <v>0</v>
      </c>
      <c r="L16" s="93">
        <v>0</v>
      </c>
      <c r="M16" s="94">
        <v>0</v>
      </c>
      <c r="N16" s="95">
        <f t="shared" si="1"/>
        <v>50</v>
      </c>
      <c r="O16" s="93">
        <f t="shared" si="2"/>
        <v>0</v>
      </c>
      <c r="P16" s="96">
        <f t="shared" si="3"/>
        <v>0</v>
      </c>
      <c r="Q16" s="29"/>
      <c r="R16" s="29"/>
      <c r="S16" s="29"/>
      <c r="T16" s="29"/>
      <c r="U16" s="48"/>
    </row>
    <row r="17" spans="1:21" ht="30" customHeight="1" x14ac:dyDescent="0.3">
      <c r="A17" s="28">
        <v>2</v>
      </c>
      <c r="B17" s="44" t="s">
        <v>340</v>
      </c>
      <c r="C17" s="44" t="s">
        <v>37</v>
      </c>
      <c r="D17" s="43" t="s">
        <v>199</v>
      </c>
      <c r="E17" s="46" t="s">
        <v>42</v>
      </c>
      <c r="F17" s="49" t="s">
        <v>193</v>
      </c>
      <c r="G17" s="92">
        <v>40</v>
      </c>
      <c r="H17" s="93">
        <f>_xlfn.XLOOKUP(B17,'[1]Stock July-26'!$D:$D,'[1]Stock July-26'!$Q:$Q,0,0)</f>
        <v>0</v>
      </c>
      <c r="I17" s="93">
        <f t="shared" si="0"/>
        <v>0</v>
      </c>
      <c r="J17" s="93">
        <f>_xlfn.XLOOKUP(B17,'[1]Stock June-26 '!$D:$D,'[1]Stock June-26 '!$O:$O,0,0)</f>
        <v>0</v>
      </c>
      <c r="K17" s="122">
        <v>0</v>
      </c>
      <c r="L17" s="93">
        <v>0</v>
      </c>
      <c r="M17" s="94">
        <v>0</v>
      </c>
      <c r="N17" s="95">
        <f t="shared" si="1"/>
        <v>40</v>
      </c>
      <c r="O17" s="93">
        <f t="shared" si="2"/>
        <v>0</v>
      </c>
      <c r="P17" s="96">
        <f t="shared" si="3"/>
        <v>0</v>
      </c>
      <c r="Q17" s="29"/>
      <c r="R17" s="29"/>
      <c r="S17" s="29"/>
      <c r="T17" s="29"/>
      <c r="U17" s="48"/>
    </row>
    <row r="18" spans="1:21" ht="30" customHeight="1" x14ac:dyDescent="0.3">
      <c r="A18" s="28">
        <v>3</v>
      </c>
      <c r="B18" s="44" t="s">
        <v>341</v>
      </c>
      <c r="C18" s="44" t="s">
        <v>37</v>
      </c>
      <c r="D18" s="43" t="s">
        <v>200</v>
      </c>
      <c r="E18" s="46" t="s">
        <v>42</v>
      </c>
      <c r="F18" s="49" t="s">
        <v>193</v>
      </c>
      <c r="G18" s="92">
        <v>100</v>
      </c>
      <c r="H18" s="93">
        <f>_xlfn.XLOOKUP(B18,'[1]Stock July-26'!$D:$D,'[1]Stock July-26'!$Q:$Q,0,0)</f>
        <v>0</v>
      </c>
      <c r="I18" s="93">
        <f t="shared" si="0"/>
        <v>0</v>
      </c>
      <c r="J18" s="93">
        <f>_xlfn.XLOOKUP(B18,'[1]Stock June-26 '!$D:$D,'[1]Stock June-26 '!$O:$O,0,0)</f>
        <v>0</v>
      </c>
      <c r="K18" s="122">
        <v>0</v>
      </c>
      <c r="L18" s="93">
        <v>0</v>
      </c>
      <c r="M18" s="94">
        <v>0</v>
      </c>
      <c r="N18" s="95">
        <f t="shared" si="1"/>
        <v>100</v>
      </c>
      <c r="O18" s="93">
        <f t="shared" si="2"/>
        <v>0</v>
      </c>
      <c r="P18" s="96">
        <f t="shared" si="3"/>
        <v>0</v>
      </c>
      <c r="Q18" s="29"/>
      <c r="R18" s="29"/>
      <c r="S18" s="29"/>
      <c r="T18" s="29"/>
      <c r="U18" s="48"/>
    </row>
    <row r="19" spans="1:21" ht="30" customHeight="1" x14ac:dyDescent="0.3">
      <c r="A19" s="28">
        <v>1</v>
      </c>
      <c r="B19" s="44" t="s">
        <v>342</v>
      </c>
      <c r="C19" s="44" t="s">
        <v>37</v>
      </c>
      <c r="D19" s="43" t="s">
        <v>201</v>
      </c>
      <c r="E19" s="46" t="s">
        <v>42</v>
      </c>
      <c r="F19" s="49" t="s">
        <v>193</v>
      </c>
      <c r="G19" s="92">
        <v>100</v>
      </c>
      <c r="H19" s="93">
        <f>_xlfn.XLOOKUP(B19,'[1]Stock July-26'!$D:$D,'[1]Stock July-26'!$Q:$Q,0,0)</f>
        <v>0</v>
      </c>
      <c r="I19" s="93">
        <f t="shared" si="0"/>
        <v>0</v>
      </c>
      <c r="J19" s="93">
        <f>_xlfn.XLOOKUP(B19,'[1]Stock June-26 '!$D:$D,'[1]Stock June-26 '!$O:$O,0,0)</f>
        <v>0</v>
      </c>
      <c r="K19" s="122">
        <v>0</v>
      </c>
      <c r="L19" s="93">
        <v>0</v>
      </c>
      <c r="M19" s="94">
        <v>0</v>
      </c>
      <c r="N19" s="95">
        <f t="shared" si="1"/>
        <v>100</v>
      </c>
      <c r="O19" s="93">
        <f t="shared" si="2"/>
        <v>0</v>
      </c>
      <c r="P19" s="96">
        <f t="shared" si="3"/>
        <v>0</v>
      </c>
      <c r="Q19" s="29"/>
      <c r="R19" s="29"/>
      <c r="S19" s="29"/>
      <c r="T19" s="29"/>
      <c r="U19" s="48"/>
    </row>
    <row r="20" spans="1:21" ht="30" customHeight="1" x14ac:dyDescent="0.3">
      <c r="A20" s="28">
        <v>2</v>
      </c>
      <c r="B20" s="44" t="s">
        <v>343</v>
      </c>
      <c r="C20" s="44" t="s">
        <v>37</v>
      </c>
      <c r="D20" s="43" t="s">
        <v>202</v>
      </c>
      <c r="E20" s="46" t="s">
        <v>42</v>
      </c>
      <c r="F20" s="49" t="s">
        <v>193</v>
      </c>
      <c r="G20" s="92">
        <v>100</v>
      </c>
      <c r="H20" s="93">
        <f>_xlfn.XLOOKUP(B20,'[1]Stock July-26'!$D:$D,'[1]Stock July-26'!$Q:$Q,0,0)</f>
        <v>0</v>
      </c>
      <c r="I20" s="93">
        <f t="shared" si="0"/>
        <v>0</v>
      </c>
      <c r="J20" s="93">
        <f>_xlfn.XLOOKUP(B20,'[1]Stock June-26 '!$D:$D,'[1]Stock June-26 '!$O:$O,0,0)</f>
        <v>0</v>
      </c>
      <c r="K20" s="122">
        <v>0</v>
      </c>
      <c r="L20" s="93">
        <v>0</v>
      </c>
      <c r="M20" s="94">
        <v>0</v>
      </c>
      <c r="N20" s="95">
        <f t="shared" si="1"/>
        <v>100</v>
      </c>
      <c r="O20" s="93">
        <f t="shared" si="2"/>
        <v>0</v>
      </c>
      <c r="P20" s="96">
        <f t="shared" si="3"/>
        <v>0</v>
      </c>
      <c r="Q20" s="29"/>
      <c r="R20" s="29"/>
      <c r="S20" s="29"/>
      <c r="T20" s="29"/>
      <c r="U20" s="48"/>
    </row>
    <row r="21" spans="1:21" ht="30" customHeight="1" x14ac:dyDescent="0.3">
      <c r="A21" s="28">
        <v>3</v>
      </c>
      <c r="B21" s="44" t="s">
        <v>344</v>
      </c>
      <c r="C21" s="44" t="s">
        <v>37</v>
      </c>
      <c r="D21" s="43" t="s">
        <v>203</v>
      </c>
      <c r="E21" s="46" t="s">
        <v>42</v>
      </c>
      <c r="F21" s="49" t="s">
        <v>193</v>
      </c>
      <c r="G21" s="92">
        <v>100</v>
      </c>
      <c r="H21" s="93">
        <f>_xlfn.XLOOKUP(B21,'[1]Stock July-26'!$D:$D,'[1]Stock July-26'!$Q:$Q,0,0)</f>
        <v>0</v>
      </c>
      <c r="I21" s="93">
        <f t="shared" si="0"/>
        <v>0</v>
      </c>
      <c r="J21" s="93">
        <f>_xlfn.XLOOKUP(B21,'[1]Stock June-26 '!$D:$D,'[1]Stock June-26 '!$O:$O,0,0)</f>
        <v>0</v>
      </c>
      <c r="K21" s="122">
        <v>0</v>
      </c>
      <c r="L21" s="93">
        <v>0</v>
      </c>
      <c r="M21" s="94">
        <v>0</v>
      </c>
      <c r="N21" s="95">
        <f t="shared" si="1"/>
        <v>100</v>
      </c>
      <c r="O21" s="93">
        <f t="shared" si="2"/>
        <v>0</v>
      </c>
      <c r="P21" s="96">
        <f t="shared" si="3"/>
        <v>0</v>
      </c>
      <c r="Q21" s="29"/>
      <c r="R21" s="29"/>
      <c r="S21" s="29"/>
      <c r="T21" s="29"/>
      <c r="U21" s="48"/>
    </row>
    <row r="22" spans="1:21" ht="30" customHeight="1" x14ac:dyDescent="0.3">
      <c r="A22" s="28">
        <v>1</v>
      </c>
      <c r="B22" s="44" t="s">
        <v>345</v>
      </c>
      <c r="C22" s="44" t="s">
        <v>37</v>
      </c>
      <c r="D22" s="43" t="s">
        <v>204</v>
      </c>
      <c r="E22" s="46" t="s">
        <v>42</v>
      </c>
      <c r="F22" s="49" t="s">
        <v>193</v>
      </c>
      <c r="G22" s="92">
        <v>200</v>
      </c>
      <c r="H22" s="93">
        <f>_xlfn.XLOOKUP(B22,'[1]Stock July-26'!$D:$D,'[1]Stock July-26'!$Q:$Q,0,0)</f>
        <v>0</v>
      </c>
      <c r="I22" s="93">
        <f t="shared" si="0"/>
        <v>0</v>
      </c>
      <c r="J22" s="93">
        <f>_xlfn.XLOOKUP(B22,'[1]Stock June-26 '!$D:$D,'[1]Stock June-26 '!$O:$O,0,0)</f>
        <v>0</v>
      </c>
      <c r="K22" s="122">
        <v>0</v>
      </c>
      <c r="L22" s="93">
        <v>0</v>
      </c>
      <c r="M22" s="94">
        <v>0</v>
      </c>
      <c r="N22" s="95">
        <f t="shared" si="1"/>
        <v>200</v>
      </c>
      <c r="O22" s="93">
        <f t="shared" si="2"/>
        <v>0</v>
      </c>
      <c r="P22" s="96">
        <f t="shared" si="3"/>
        <v>0</v>
      </c>
      <c r="Q22" s="29"/>
      <c r="R22" s="29"/>
      <c r="S22" s="29"/>
      <c r="T22" s="29"/>
      <c r="U22" s="48"/>
    </row>
    <row r="23" spans="1:21" ht="30" customHeight="1" x14ac:dyDescent="0.3">
      <c r="A23" s="28">
        <v>2</v>
      </c>
      <c r="B23" s="44" t="s">
        <v>346</v>
      </c>
      <c r="C23" s="44" t="s">
        <v>37</v>
      </c>
      <c r="D23" s="43" t="s">
        <v>194</v>
      </c>
      <c r="E23" s="46" t="s">
        <v>42</v>
      </c>
      <c r="F23" s="49" t="s">
        <v>193</v>
      </c>
      <c r="G23" s="92">
        <v>1</v>
      </c>
      <c r="H23" s="93">
        <f>_xlfn.XLOOKUP(B23,'[1]Stock July-26'!$D:$D,'[1]Stock July-26'!$Q:$Q,0,0)</f>
        <v>0</v>
      </c>
      <c r="I23" s="93">
        <f t="shared" si="0"/>
        <v>0</v>
      </c>
      <c r="J23" s="93">
        <f>_xlfn.XLOOKUP(B23,'[1]Stock June-26 '!$D:$D,'[1]Stock June-26 '!$O:$O,0,0)</f>
        <v>0</v>
      </c>
      <c r="K23" s="122">
        <v>0</v>
      </c>
      <c r="L23" s="93">
        <v>0</v>
      </c>
      <c r="M23" s="94">
        <v>0</v>
      </c>
      <c r="N23" s="95">
        <f t="shared" si="1"/>
        <v>1</v>
      </c>
      <c r="O23" s="93">
        <f t="shared" si="2"/>
        <v>0</v>
      </c>
      <c r="P23" s="96">
        <f t="shared" si="3"/>
        <v>0</v>
      </c>
      <c r="Q23" s="29"/>
      <c r="R23" s="29"/>
      <c r="S23" s="29"/>
      <c r="T23" s="29"/>
      <c r="U23" s="48"/>
    </row>
    <row r="24" spans="1:21" ht="30" customHeight="1" x14ac:dyDescent="0.3">
      <c r="A24" s="28">
        <v>3</v>
      </c>
      <c r="B24" s="44" t="s">
        <v>347</v>
      </c>
      <c r="C24" s="44" t="s">
        <v>37</v>
      </c>
      <c r="D24" s="43" t="s">
        <v>194</v>
      </c>
      <c r="E24" s="46" t="s">
        <v>42</v>
      </c>
      <c r="F24" s="49" t="s">
        <v>193</v>
      </c>
      <c r="G24" s="92">
        <v>1</v>
      </c>
      <c r="H24" s="93">
        <f>_xlfn.XLOOKUP(B24,'[1]Stock July-26'!$D:$D,'[1]Stock July-26'!$Q:$Q,0,0)</f>
        <v>0</v>
      </c>
      <c r="I24" s="93">
        <f t="shared" si="0"/>
        <v>0</v>
      </c>
      <c r="J24" s="93">
        <f>_xlfn.XLOOKUP(B24,'[1]Stock June-26 '!$D:$D,'[1]Stock June-26 '!$O:$O,0,0)</f>
        <v>0</v>
      </c>
      <c r="K24" s="122">
        <v>0</v>
      </c>
      <c r="L24" s="93">
        <v>0</v>
      </c>
      <c r="M24" s="94">
        <v>0</v>
      </c>
      <c r="N24" s="95">
        <f t="shared" si="1"/>
        <v>1</v>
      </c>
      <c r="O24" s="93">
        <f t="shared" si="2"/>
        <v>0</v>
      </c>
      <c r="P24" s="96">
        <f t="shared" si="3"/>
        <v>0</v>
      </c>
      <c r="Q24" s="29"/>
      <c r="R24" s="29"/>
      <c r="S24" s="29"/>
      <c r="T24" s="29"/>
      <c r="U24" s="48"/>
    </row>
    <row r="25" spans="1:21" ht="30" customHeight="1" x14ac:dyDescent="0.3">
      <c r="A25" s="28">
        <v>1</v>
      </c>
      <c r="B25" s="44" t="s">
        <v>348</v>
      </c>
      <c r="C25" s="44" t="s">
        <v>37</v>
      </c>
      <c r="D25" s="43" t="s">
        <v>205</v>
      </c>
      <c r="E25" s="46" t="s">
        <v>42</v>
      </c>
      <c r="F25" s="49" t="s">
        <v>193</v>
      </c>
      <c r="G25" s="92">
        <v>10</v>
      </c>
      <c r="H25" s="93">
        <f>_xlfn.XLOOKUP(B25,'[1]Stock July-26'!$D:$D,'[1]Stock July-26'!$Q:$Q,0,0)</f>
        <v>0</v>
      </c>
      <c r="I25" s="93">
        <f t="shared" si="0"/>
        <v>0</v>
      </c>
      <c r="J25" s="93">
        <f>_xlfn.XLOOKUP(B25,'[1]Stock June-26 '!$D:$D,'[1]Stock June-26 '!$O:$O,0,0)</f>
        <v>0</v>
      </c>
      <c r="K25" s="122">
        <v>0</v>
      </c>
      <c r="L25" s="93">
        <v>0</v>
      </c>
      <c r="M25" s="94">
        <v>0</v>
      </c>
      <c r="N25" s="95">
        <f t="shared" si="1"/>
        <v>10</v>
      </c>
      <c r="O25" s="93">
        <f t="shared" si="2"/>
        <v>0</v>
      </c>
      <c r="P25" s="96">
        <f t="shared" si="3"/>
        <v>0</v>
      </c>
      <c r="Q25" s="29"/>
      <c r="R25" s="29"/>
      <c r="S25" s="29"/>
      <c r="T25" s="29"/>
      <c r="U25" s="48"/>
    </row>
    <row r="26" spans="1:21" ht="30" customHeight="1" x14ac:dyDescent="0.3">
      <c r="A26" s="28">
        <v>2</v>
      </c>
      <c r="B26" s="44" t="s">
        <v>349</v>
      </c>
      <c r="C26" s="44" t="s">
        <v>37</v>
      </c>
      <c r="D26" s="43" t="s">
        <v>103</v>
      </c>
      <c r="E26" s="46" t="s">
        <v>42</v>
      </c>
      <c r="F26" s="49" t="s">
        <v>193</v>
      </c>
      <c r="G26" s="92">
        <v>1</v>
      </c>
      <c r="H26" s="93">
        <f>_xlfn.XLOOKUP(B26,'[1]Stock July-26'!$D:$D,'[1]Stock July-26'!$Q:$Q,0,0)</f>
        <v>0</v>
      </c>
      <c r="I26" s="93">
        <f t="shared" si="0"/>
        <v>0</v>
      </c>
      <c r="J26" s="93">
        <f>_xlfn.XLOOKUP(B26,'[1]Stock June-26 '!$D:$D,'[1]Stock June-26 '!$O:$O,0,0)</f>
        <v>0</v>
      </c>
      <c r="K26" s="122">
        <v>0</v>
      </c>
      <c r="L26" s="93">
        <v>0</v>
      </c>
      <c r="M26" s="94">
        <v>0</v>
      </c>
      <c r="N26" s="95">
        <f t="shared" si="1"/>
        <v>1</v>
      </c>
      <c r="O26" s="93">
        <f t="shared" si="2"/>
        <v>0</v>
      </c>
      <c r="P26" s="96">
        <f t="shared" si="3"/>
        <v>0</v>
      </c>
      <c r="Q26" s="29"/>
      <c r="R26" s="29"/>
      <c r="S26" s="29"/>
      <c r="T26" s="29"/>
      <c r="U26" s="48"/>
    </row>
    <row r="27" spans="1:21" ht="30" customHeight="1" thickBot="1" x14ac:dyDescent="0.35">
      <c r="A27" s="28">
        <v>3</v>
      </c>
      <c r="B27" s="44" t="s">
        <v>350</v>
      </c>
      <c r="C27" s="44" t="s">
        <v>37</v>
      </c>
      <c r="D27" s="43" t="s">
        <v>206</v>
      </c>
      <c r="E27" s="46" t="s">
        <v>42</v>
      </c>
      <c r="F27" s="49" t="s">
        <v>193</v>
      </c>
      <c r="G27" s="92">
        <v>200</v>
      </c>
      <c r="H27" s="93">
        <f>_xlfn.XLOOKUP(B27,'[1]Stock July-26'!$D:$D,'[1]Stock July-26'!$Q:$Q,0,0)</f>
        <v>0</v>
      </c>
      <c r="I27" s="93">
        <f t="shared" si="0"/>
        <v>0</v>
      </c>
      <c r="J27" s="93">
        <f>_xlfn.XLOOKUP(B27,'[1]Stock June-26 '!$D:$D,'[1]Stock June-26 '!$O:$O,0,0)</f>
        <v>0</v>
      </c>
      <c r="K27" s="122">
        <v>0</v>
      </c>
      <c r="L27" s="93">
        <v>0</v>
      </c>
      <c r="M27" s="94">
        <v>0</v>
      </c>
      <c r="N27" s="95">
        <f t="shared" si="1"/>
        <v>200</v>
      </c>
      <c r="O27" s="93">
        <f t="shared" si="2"/>
        <v>0</v>
      </c>
      <c r="P27" s="96">
        <f t="shared" si="3"/>
        <v>0</v>
      </c>
      <c r="Q27" s="29"/>
      <c r="R27" s="29"/>
      <c r="S27" s="29"/>
      <c r="T27" s="29"/>
      <c r="U27" s="48"/>
    </row>
    <row r="28" spans="1:21" s="35" customFormat="1" ht="19.5" customHeight="1" thickBot="1" x14ac:dyDescent="0.4">
      <c r="A28" s="184" t="s">
        <v>35</v>
      </c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27">
        <f>SUM(P11:P27)</f>
        <v>0</v>
      </c>
      <c r="Q28" s="33"/>
      <c r="R28" s="33"/>
      <c r="S28" s="33"/>
      <c r="T28" s="33"/>
      <c r="U28" s="34"/>
    </row>
    <row r="29" spans="1:21" s="2" customFormat="1" ht="22.5" customHeight="1" x14ac:dyDescent="0.35">
      <c r="A29" s="3"/>
      <c r="B29" s="40"/>
      <c r="C29" s="4"/>
      <c r="D29" s="4"/>
      <c r="E29" s="5"/>
      <c r="F29" s="4"/>
      <c r="G29" s="4"/>
      <c r="H29" s="5"/>
      <c r="I29" s="5"/>
      <c r="J29" s="5"/>
      <c r="K29" s="5"/>
      <c r="L29" s="5"/>
      <c r="M29" s="6"/>
      <c r="N29" s="7"/>
      <c r="O29" s="8"/>
      <c r="P29" s="9"/>
      <c r="Q29" s="9"/>
      <c r="R29" s="9"/>
      <c r="S29" s="9"/>
      <c r="T29" s="9"/>
      <c r="U29" s="10"/>
    </row>
    <row r="30" spans="1:21" s="2" customFormat="1" ht="19.5" customHeight="1" x14ac:dyDescent="0.35">
      <c r="A30" s="3"/>
      <c r="B30" s="40"/>
      <c r="C30" s="4"/>
      <c r="D30" s="4"/>
      <c r="E30" s="5"/>
      <c r="F30" s="4"/>
      <c r="G30" s="4"/>
      <c r="H30" s="5"/>
      <c r="I30" s="5"/>
      <c r="J30" s="5"/>
      <c r="K30" s="5"/>
      <c r="L30" s="5"/>
      <c r="M30" s="6"/>
      <c r="N30" s="7"/>
      <c r="O30" s="11"/>
      <c r="P30" s="9"/>
      <c r="Q30" s="9"/>
      <c r="R30" s="9"/>
      <c r="S30" s="9"/>
      <c r="T30" s="9"/>
      <c r="U30" s="10"/>
    </row>
    <row r="31" spans="1:21" s="2" customFormat="1" ht="19.5" customHeight="1" x14ac:dyDescent="0.35">
      <c r="A31" s="3"/>
      <c r="B31" s="40"/>
      <c r="C31" s="4"/>
      <c r="D31" s="4"/>
      <c r="E31" s="5"/>
      <c r="F31" s="4"/>
      <c r="G31" s="4"/>
      <c r="H31" s="5"/>
      <c r="I31" s="5"/>
      <c r="J31" s="5"/>
      <c r="K31" s="5"/>
      <c r="L31" s="5"/>
      <c r="M31" s="6"/>
      <c r="N31" s="7"/>
      <c r="O31" s="11"/>
      <c r="P31" s="9"/>
      <c r="Q31" s="9"/>
      <c r="R31" s="9"/>
      <c r="S31" s="9"/>
      <c r="T31" s="9"/>
      <c r="U31" s="10"/>
    </row>
    <row r="32" spans="1:21" s="2" customFormat="1" ht="19.5" customHeight="1" x14ac:dyDescent="0.35">
      <c r="A32" s="3"/>
      <c r="B32" s="40"/>
      <c r="C32" s="4"/>
      <c r="D32" s="4"/>
      <c r="E32" s="5"/>
      <c r="F32" s="4"/>
      <c r="G32" s="4"/>
      <c r="H32" s="5"/>
      <c r="I32" s="5"/>
      <c r="J32" s="5"/>
      <c r="K32" s="5"/>
      <c r="L32" s="5"/>
      <c r="M32" s="6"/>
      <c r="N32" s="7"/>
      <c r="O32" s="11"/>
      <c r="P32" s="9"/>
      <c r="Q32" s="9"/>
      <c r="R32" s="9"/>
      <c r="S32" s="9"/>
      <c r="T32" s="9"/>
      <c r="U32" s="10"/>
    </row>
    <row r="33" spans="1:21" s="2" customFormat="1" ht="20.149999999999999" customHeight="1" x14ac:dyDescent="0.25">
      <c r="A33" s="12"/>
      <c r="B33" s="22"/>
      <c r="C33" s="5"/>
      <c r="D33" s="30"/>
      <c r="E33" s="12"/>
      <c r="F33" s="12"/>
      <c r="G33" s="12"/>
      <c r="H33" s="12"/>
      <c r="I33" s="12"/>
      <c r="J33" s="12"/>
      <c r="K33" s="13"/>
      <c r="L33" s="13"/>
      <c r="M33" s="13"/>
      <c r="N33" s="14"/>
      <c r="O33" s="14"/>
      <c r="P33" s="9"/>
      <c r="Q33" s="9"/>
      <c r="R33" s="9"/>
      <c r="S33" s="9"/>
      <c r="T33" s="9"/>
      <c r="U33" s="13"/>
    </row>
    <row r="34" spans="1:21" s="2" customFormat="1" ht="20.149999999999999" customHeight="1" x14ac:dyDescent="0.25">
      <c r="A34" s="12"/>
      <c r="B34" s="22"/>
      <c r="C34" s="5"/>
      <c r="D34" s="30"/>
      <c r="E34" s="12"/>
      <c r="F34" s="12"/>
      <c r="G34" s="12"/>
      <c r="H34" s="12"/>
      <c r="I34" s="12"/>
      <c r="J34" s="12"/>
      <c r="K34" s="13"/>
      <c r="L34" s="13"/>
      <c r="M34" s="13"/>
      <c r="N34" s="14"/>
      <c r="O34" s="14"/>
      <c r="P34" s="9"/>
      <c r="Q34" s="9"/>
      <c r="R34" s="9"/>
      <c r="S34" s="9"/>
      <c r="T34" s="9"/>
      <c r="U34" s="13"/>
    </row>
    <row r="35" spans="1:21" s="15" customFormat="1" ht="17.5" customHeight="1" x14ac:dyDescent="0.35">
      <c r="B35" s="16" t="s">
        <v>26</v>
      </c>
      <c r="C35" s="36"/>
      <c r="D35" s="31"/>
      <c r="E35" s="22"/>
      <c r="F35"/>
      <c r="G35" s="161" t="s">
        <v>27</v>
      </c>
      <c r="H35" s="161"/>
      <c r="I35" s="161"/>
      <c r="J35"/>
      <c r="K35" s="21"/>
      <c r="L35" s="21"/>
      <c r="M35" s="23"/>
      <c r="N35" s="24"/>
      <c r="O35" s="161" t="s">
        <v>28</v>
      </c>
      <c r="P35" s="161"/>
      <c r="Q35" s="25"/>
      <c r="R35" s="24"/>
      <c r="S35" s="26"/>
      <c r="T35" s="161" t="s">
        <v>29</v>
      </c>
      <c r="U35" s="161"/>
    </row>
    <row r="36" spans="1:21" ht="20.149999999999999" customHeight="1" x14ac:dyDescent="0.3">
      <c r="A36" s="12"/>
      <c r="B36" s="22"/>
      <c r="C36" s="5"/>
      <c r="D36" s="30"/>
      <c r="E36" s="12"/>
      <c r="F36" s="12"/>
      <c r="G36" s="12"/>
      <c r="H36" s="12"/>
      <c r="I36" s="12"/>
      <c r="J36" s="12"/>
      <c r="K36" s="13"/>
      <c r="L36" s="13"/>
      <c r="M36" s="13"/>
      <c r="N36" s="17"/>
      <c r="O36" s="13"/>
      <c r="P36" s="13"/>
      <c r="Q36" s="5"/>
      <c r="R36" s="5"/>
      <c r="S36" s="5"/>
      <c r="T36" s="5"/>
      <c r="U36" s="13"/>
    </row>
    <row r="42" spans="1:21" x14ac:dyDescent="0.35">
      <c r="L42" s="18"/>
    </row>
    <row r="43" spans="1:21" s="20" customFormat="1" ht="15.5" x14ac:dyDescent="0.35">
      <c r="A43" s="1"/>
      <c r="B43" s="41"/>
      <c r="C43" s="23"/>
      <c r="D43" s="32"/>
      <c r="E43" s="1"/>
      <c r="F43" s="1"/>
      <c r="G43" s="1"/>
      <c r="H43" s="1"/>
      <c r="I43" s="1"/>
      <c r="J43" s="1"/>
      <c r="K43" s="1"/>
      <c r="L43" s="1"/>
      <c r="M43" s="1"/>
      <c r="N43" s="19"/>
      <c r="O43" s="1"/>
      <c r="P43" s="1"/>
      <c r="Q43" s="1"/>
      <c r="R43" s="1"/>
      <c r="S43" s="1"/>
      <c r="T43" s="1"/>
      <c r="U43" s="1"/>
    </row>
  </sheetData>
  <mergeCells count="36">
    <mergeCell ref="A4:D4"/>
    <mergeCell ref="E4:M4"/>
    <mergeCell ref="N4:U4"/>
    <mergeCell ref="A1:U1"/>
    <mergeCell ref="A2:U2"/>
    <mergeCell ref="A3:D3"/>
    <mergeCell ref="E3:M3"/>
    <mergeCell ref="N3:U3"/>
    <mergeCell ref="A5:D5"/>
    <mergeCell ref="E5:M5"/>
    <mergeCell ref="N5:U5"/>
    <mergeCell ref="A6:D6"/>
    <mergeCell ref="E6:M6"/>
    <mergeCell ref="N6:U6"/>
    <mergeCell ref="A7:D7"/>
    <mergeCell ref="E7:M7"/>
    <mergeCell ref="N7:U7"/>
    <mergeCell ref="A8:D8"/>
    <mergeCell ref="E8:M8"/>
    <mergeCell ref="N8:U8"/>
    <mergeCell ref="A28:O28"/>
    <mergeCell ref="G35:I35"/>
    <mergeCell ref="O35:P35"/>
    <mergeCell ref="T35:U35"/>
    <mergeCell ref="G9:J9"/>
    <mergeCell ref="K9:M9"/>
    <mergeCell ref="N9:P9"/>
    <mergeCell ref="Q9:R9"/>
    <mergeCell ref="S9:T9"/>
    <mergeCell ref="U9:U10"/>
    <mergeCell ref="A9:A10"/>
    <mergeCell ref="B9:B10"/>
    <mergeCell ref="C9:C10"/>
    <mergeCell ref="D9:D10"/>
    <mergeCell ref="E9:E10"/>
    <mergeCell ref="F9:F10"/>
  </mergeCells>
  <conditionalFormatting sqref="B11:B27">
    <cfRule type="duplicateValues" dxfId="13" priority="181318"/>
    <cfRule type="duplicateValues" dxfId="12" priority="181319"/>
    <cfRule type="duplicateValues" dxfId="11" priority="181320"/>
  </conditionalFormatting>
  <conditionalFormatting sqref="B28:B1048576 B1:B10">
    <cfRule type="duplicateValues" dxfId="10" priority="3"/>
  </conditionalFormatting>
  <hyperlinks>
    <hyperlink ref="N8" r:id="rId1" display="suresh@humanaapparels.com" xr:uid="{A4F8FC6F-656D-4C3F-A68D-82A1FA01D575}"/>
  </hyperlinks>
  <printOptions horizontalCentered="1"/>
  <pageMargins left="0.25" right="0.25" top="0.75" bottom="0.25" header="0.31496062992126" footer="0.31496062992126"/>
  <pageSetup paperSize="9" scale="49" fitToHeight="0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915C-23EA-45F2-9F7C-7AB19A6702CF}">
  <sheetPr>
    <pageSetUpPr fitToPage="1"/>
  </sheetPr>
  <dimension ref="A1:U29"/>
  <sheetViews>
    <sheetView topLeftCell="E1" zoomScale="70" zoomScaleNormal="70" zoomScaleSheetLayoutView="80" workbookViewId="0">
      <pane ySplit="10" topLeftCell="A11" activePane="bottomLeft" state="frozen"/>
      <selection activeCell="D19" sqref="D19"/>
      <selection pane="bottomLeft" activeCell="E11" sqref="A11:XFD12"/>
    </sheetView>
  </sheetViews>
  <sheetFormatPr defaultColWidth="9.1796875" defaultRowHeight="14.5" x14ac:dyDescent="0.35"/>
  <cols>
    <col min="1" max="1" width="5.7265625" style="1" customWidth="1"/>
    <col min="2" max="2" width="40.453125" style="41" customWidth="1"/>
    <col min="3" max="3" width="8.26953125" style="23" customWidth="1"/>
    <col min="4" max="4" width="17.54296875" style="32" customWidth="1"/>
    <col min="5" max="5" width="11.7265625" style="1" customWidth="1"/>
    <col min="6" max="6" width="17.1796875" style="1" customWidth="1"/>
    <col min="7" max="7" width="11.54296875" style="1" customWidth="1"/>
    <col min="8" max="8" width="8.7265625" style="1" customWidth="1"/>
    <col min="9" max="9" width="8" style="1" customWidth="1"/>
    <col min="10" max="10" width="14.453125" style="1" customWidth="1"/>
    <col min="11" max="11" width="8.7265625" style="1" customWidth="1"/>
    <col min="12" max="12" width="9.26953125" style="1" customWidth="1"/>
    <col min="13" max="13" width="12.81640625" style="1" customWidth="1"/>
    <col min="14" max="14" width="8.7265625" style="19" customWidth="1"/>
    <col min="15" max="15" width="11" style="1" customWidth="1"/>
    <col min="16" max="16" width="13.7265625" style="1" customWidth="1"/>
    <col min="17" max="17" width="11.26953125" style="1" customWidth="1"/>
    <col min="18" max="18" width="9" style="1" customWidth="1"/>
    <col min="19" max="19" width="10.54296875" style="1" customWidth="1"/>
    <col min="20" max="20" width="11.7265625" style="1" customWidth="1"/>
    <col min="21" max="21" width="25.26953125" style="1" customWidth="1"/>
    <col min="22" max="16384" width="9.1796875" style="1"/>
  </cols>
  <sheetData>
    <row r="1" spans="1:21" ht="30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2"/>
    </row>
    <row r="2" spans="1:21" ht="17.5" x14ac:dyDescent="0.3">
      <c r="A2" s="143" t="s">
        <v>34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</row>
    <row r="3" spans="1:21" ht="13.5" customHeight="1" x14ac:dyDescent="0.3">
      <c r="A3" s="134" t="s">
        <v>1</v>
      </c>
      <c r="B3" s="135"/>
      <c r="C3" s="135"/>
      <c r="D3" s="136"/>
      <c r="E3" s="146" t="str">
        <f>ALL!E3</f>
        <v>HAPL/Dept./ALL/2026/August/01</v>
      </c>
      <c r="F3" s="135"/>
      <c r="G3" s="135"/>
      <c r="H3" s="135"/>
      <c r="I3" s="135"/>
      <c r="J3" s="135"/>
      <c r="K3" s="135"/>
      <c r="L3" s="135"/>
      <c r="M3" s="135"/>
      <c r="N3" s="146" t="s">
        <v>125</v>
      </c>
      <c r="O3" s="135"/>
      <c r="P3" s="135"/>
      <c r="Q3" s="135"/>
      <c r="R3" s="135"/>
      <c r="S3" s="135"/>
      <c r="T3" s="135"/>
      <c r="U3" s="147"/>
    </row>
    <row r="4" spans="1:21" ht="13.5" customHeight="1" x14ac:dyDescent="0.3">
      <c r="A4" s="134" t="s">
        <v>2</v>
      </c>
      <c r="B4" s="135"/>
      <c r="C4" s="135"/>
      <c r="D4" s="136"/>
      <c r="E4" s="137">
        <f>ALL!E4</f>
        <v>46235</v>
      </c>
      <c r="F4" s="138"/>
      <c r="G4" s="138"/>
      <c r="H4" s="138"/>
      <c r="I4" s="138"/>
      <c r="J4" s="138"/>
      <c r="K4" s="138"/>
      <c r="L4" s="138"/>
      <c r="M4" s="139"/>
      <c r="N4" s="146" t="s">
        <v>127</v>
      </c>
      <c r="O4" s="135"/>
      <c r="P4" s="135"/>
      <c r="Q4" s="135"/>
      <c r="R4" s="135"/>
      <c r="S4" s="135"/>
      <c r="T4" s="135"/>
      <c r="U4" s="147"/>
    </row>
    <row r="5" spans="1:21" ht="13.5" customHeight="1" x14ac:dyDescent="0.3">
      <c r="A5" s="134" t="s">
        <v>3</v>
      </c>
      <c r="B5" s="135"/>
      <c r="C5" s="135"/>
      <c r="D5" s="136"/>
      <c r="E5" s="154" t="str">
        <f>ALL!E5</f>
        <v>Humana Apparels Pvt. Ltd.</v>
      </c>
      <c r="F5" s="155"/>
      <c r="G5" s="155"/>
      <c r="H5" s="155"/>
      <c r="I5" s="155"/>
      <c r="J5" s="155"/>
      <c r="K5" s="155"/>
      <c r="L5" s="155"/>
      <c r="M5" s="178"/>
      <c r="N5" s="146" t="s">
        <v>128</v>
      </c>
      <c r="O5" s="135"/>
      <c r="P5" s="135"/>
      <c r="Q5" s="135"/>
      <c r="R5" s="135"/>
      <c r="S5" s="135"/>
      <c r="T5" s="135"/>
      <c r="U5" s="147"/>
    </row>
    <row r="6" spans="1:21" ht="13.5" customHeight="1" x14ac:dyDescent="0.3">
      <c r="A6" s="134" t="s">
        <v>4</v>
      </c>
      <c r="B6" s="135"/>
      <c r="C6" s="135"/>
      <c r="D6" s="136"/>
      <c r="E6" s="146" t="str">
        <f>ALL!E6</f>
        <v>ALL</v>
      </c>
      <c r="F6" s="135"/>
      <c r="G6" s="135"/>
      <c r="H6" s="135"/>
      <c r="I6" s="135"/>
      <c r="J6" s="135"/>
      <c r="K6" s="135"/>
      <c r="L6" s="135"/>
      <c r="M6" s="136"/>
      <c r="N6" s="148" t="s">
        <v>126</v>
      </c>
      <c r="O6" s="149"/>
      <c r="P6" s="149"/>
      <c r="Q6" s="149"/>
      <c r="R6" s="149"/>
      <c r="S6" s="149"/>
      <c r="T6" s="149"/>
      <c r="U6" s="150"/>
    </row>
    <row r="7" spans="1:21" ht="13.5" customHeight="1" x14ac:dyDescent="0.3">
      <c r="A7" s="134" t="s">
        <v>5</v>
      </c>
      <c r="B7" s="135"/>
      <c r="C7" s="135"/>
      <c r="D7" s="136"/>
      <c r="E7" s="146" t="str">
        <f>ALL!E7</f>
        <v>ALL</v>
      </c>
      <c r="F7" s="135"/>
      <c r="G7" s="135"/>
      <c r="H7" s="135"/>
      <c r="I7" s="135"/>
      <c r="J7" s="135"/>
      <c r="K7" s="135"/>
      <c r="L7" s="135"/>
      <c r="M7" s="136"/>
      <c r="N7" s="148" t="s">
        <v>129</v>
      </c>
      <c r="O7" s="149"/>
      <c r="P7" s="149"/>
      <c r="Q7" s="149"/>
      <c r="R7" s="149"/>
      <c r="S7" s="149"/>
      <c r="T7" s="149"/>
      <c r="U7" s="150"/>
    </row>
    <row r="8" spans="1:21" ht="13.5" customHeight="1" thickBot="1" x14ac:dyDescent="0.35">
      <c r="A8" s="156" t="s">
        <v>6</v>
      </c>
      <c r="B8" s="157"/>
      <c r="C8" s="157"/>
      <c r="D8" s="158"/>
      <c r="E8" s="186" t="str">
        <f>ALL!E8</f>
        <v>amirul@humanaapparels.com</v>
      </c>
      <c r="F8" s="152"/>
      <c r="G8" s="152"/>
      <c r="H8" s="152"/>
      <c r="I8" s="152"/>
      <c r="J8" s="152"/>
      <c r="K8" s="152"/>
      <c r="L8" s="152"/>
      <c r="M8" s="187"/>
      <c r="N8" s="151" t="s">
        <v>69</v>
      </c>
      <c r="O8" s="152"/>
      <c r="P8" s="152"/>
      <c r="Q8" s="152"/>
      <c r="R8" s="152"/>
      <c r="S8" s="152"/>
      <c r="T8" s="152"/>
      <c r="U8" s="153"/>
    </row>
    <row r="9" spans="1:21" ht="28.5" customHeight="1" x14ac:dyDescent="0.3">
      <c r="A9" s="165" t="s">
        <v>7</v>
      </c>
      <c r="B9" s="182" t="s">
        <v>8</v>
      </c>
      <c r="C9" s="171" t="s">
        <v>30</v>
      </c>
      <c r="D9" s="171" t="s">
        <v>9</v>
      </c>
      <c r="E9" s="171" t="s">
        <v>10</v>
      </c>
      <c r="F9" s="171" t="s">
        <v>33</v>
      </c>
      <c r="G9" s="171" t="s">
        <v>11</v>
      </c>
      <c r="H9" s="171"/>
      <c r="I9" s="171"/>
      <c r="J9" s="171"/>
      <c r="K9" s="171" t="s">
        <v>12</v>
      </c>
      <c r="L9" s="171"/>
      <c r="M9" s="171"/>
      <c r="N9" s="171" t="s">
        <v>13</v>
      </c>
      <c r="O9" s="171"/>
      <c r="P9" s="171"/>
      <c r="Q9" s="171" t="s">
        <v>14</v>
      </c>
      <c r="R9" s="171"/>
      <c r="S9" s="171" t="s">
        <v>15</v>
      </c>
      <c r="T9" s="171"/>
      <c r="U9" s="173" t="s">
        <v>16</v>
      </c>
    </row>
    <row r="10" spans="1:21" ht="30.65" customHeight="1" thickBot="1" x14ac:dyDescent="0.35">
      <c r="A10" s="166"/>
      <c r="B10" s="183"/>
      <c r="C10" s="172"/>
      <c r="D10" s="172"/>
      <c r="E10" s="172"/>
      <c r="F10" s="172"/>
      <c r="G10" s="37" t="s">
        <v>17</v>
      </c>
      <c r="H10" s="37" t="s">
        <v>18</v>
      </c>
      <c r="I10" s="37" t="s">
        <v>19</v>
      </c>
      <c r="J10" s="37" t="s">
        <v>20</v>
      </c>
      <c r="K10" s="38" t="s">
        <v>21</v>
      </c>
      <c r="L10" s="37" t="s">
        <v>31</v>
      </c>
      <c r="M10" s="37" t="s">
        <v>22</v>
      </c>
      <c r="N10" s="39" t="s">
        <v>21</v>
      </c>
      <c r="O10" s="37" t="s">
        <v>23</v>
      </c>
      <c r="P10" s="38" t="s">
        <v>24</v>
      </c>
      <c r="Q10" s="37" t="s">
        <v>32</v>
      </c>
      <c r="R10" s="38" t="s">
        <v>25</v>
      </c>
      <c r="S10" s="37" t="s">
        <v>32</v>
      </c>
      <c r="T10" s="38" t="s">
        <v>25</v>
      </c>
      <c r="U10" s="174"/>
    </row>
    <row r="11" spans="1:21" ht="42.65" customHeight="1" x14ac:dyDescent="0.3">
      <c r="A11" s="53">
        <v>1</v>
      </c>
      <c r="B11" s="44" t="s">
        <v>85</v>
      </c>
      <c r="C11" s="44" t="s">
        <v>40</v>
      </c>
      <c r="D11" s="47"/>
      <c r="E11" s="46" t="s">
        <v>103</v>
      </c>
      <c r="F11" s="46" t="s">
        <v>168</v>
      </c>
      <c r="G11" s="42">
        <v>220</v>
      </c>
      <c r="H11" s="46">
        <v>70</v>
      </c>
      <c r="I11" s="46">
        <v>20</v>
      </c>
      <c r="J11" s="46">
        <v>180</v>
      </c>
      <c r="K11" s="46">
        <v>150</v>
      </c>
      <c r="L11" s="52">
        <v>84</v>
      </c>
      <c r="M11" s="75">
        <v>46191</v>
      </c>
      <c r="N11" s="49">
        <v>170</v>
      </c>
      <c r="O11" s="77">
        <v>84</v>
      </c>
      <c r="P11" s="63">
        <v>14280</v>
      </c>
      <c r="Q11" s="29"/>
      <c r="R11" s="29"/>
      <c r="S11" s="29"/>
      <c r="T11" s="29"/>
      <c r="U11" s="76"/>
    </row>
    <row r="12" spans="1:21" ht="42.65" customHeight="1" thickBot="1" x14ac:dyDescent="0.35">
      <c r="A12" s="53">
        <v>2</v>
      </c>
      <c r="B12" s="44" t="s">
        <v>121</v>
      </c>
      <c r="C12" s="44" t="s">
        <v>40</v>
      </c>
      <c r="D12" s="47"/>
      <c r="E12" s="46" t="s">
        <v>103</v>
      </c>
      <c r="F12" s="49" t="s">
        <v>168</v>
      </c>
      <c r="G12" s="44">
        <v>60</v>
      </c>
      <c r="H12" s="46">
        <v>13</v>
      </c>
      <c r="I12" s="46">
        <v>3</v>
      </c>
      <c r="J12" s="46">
        <v>23</v>
      </c>
      <c r="K12" s="46">
        <v>20</v>
      </c>
      <c r="L12" s="52">
        <v>84</v>
      </c>
      <c r="M12" s="75">
        <v>46191</v>
      </c>
      <c r="N12" s="49">
        <v>50</v>
      </c>
      <c r="O12" s="77">
        <v>84</v>
      </c>
      <c r="P12" s="63">
        <v>4200</v>
      </c>
      <c r="Q12" s="29"/>
      <c r="R12" s="29"/>
      <c r="S12" s="29"/>
      <c r="T12" s="29"/>
      <c r="U12" s="48"/>
    </row>
    <row r="13" spans="1:21" s="35" customFormat="1" ht="23.25" customHeight="1" thickBot="1" x14ac:dyDescent="0.4">
      <c r="A13" s="162" t="s">
        <v>35</v>
      </c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4"/>
      <c r="P13" s="127">
        <f>SUM(P11:P12)</f>
        <v>18480</v>
      </c>
      <c r="Q13" s="33"/>
      <c r="R13" s="33"/>
      <c r="S13" s="33"/>
      <c r="T13" s="33"/>
      <c r="U13" s="34"/>
    </row>
    <row r="14" spans="1:21" s="2" customFormat="1" ht="22.5" customHeight="1" x14ac:dyDescent="0.35">
      <c r="A14" s="54"/>
      <c r="B14" s="55"/>
      <c r="C14" s="56"/>
      <c r="D14" s="56"/>
      <c r="E14" s="5"/>
      <c r="F14" s="56"/>
      <c r="G14" s="56"/>
      <c r="H14" s="5"/>
      <c r="I14" s="5"/>
      <c r="J14" s="5"/>
      <c r="K14" s="5"/>
      <c r="L14" s="5"/>
      <c r="M14" s="6"/>
      <c r="N14" s="7"/>
      <c r="O14" s="57"/>
      <c r="P14" s="9"/>
      <c r="Q14" s="9"/>
      <c r="R14" s="9"/>
      <c r="S14" s="9"/>
      <c r="T14" s="9"/>
      <c r="U14" s="58"/>
    </row>
    <row r="15" spans="1:21" s="2" customFormat="1" ht="22.5" customHeight="1" x14ac:dyDescent="0.35">
      <c r="A15" s="54"/>
      <c r="B15" s="55"/>
      <c r="C15" s="56"/>
      <c r="D15" s="56"/>
      <c r="E15" s="5"/>
      <c r="F15" s="56"/>
      <c r="G15" s="56"/>
      <c r="H15" s="5"/>
      <c r="I15" s="5"/>
      <c r="J15" s="5"/>
      <c r="K15" s="5"/>
      <c r="L15" s="5"/>
      <c r="M15" s="6"/>
      <c r="N15" s="7"/>
      <c r="O15" s="57"/>
      <c r="P15" s="9"/>
      <c r="Q15" s="9"/>
      <c r="R15" s="9"/>
      <c r="S15" s="9"/>
      <c r="T15" s="9"/>
      <c r="U15" s="58"/>
    </row>
    <row r="16" spans="1:21" s="2" customFormat="1" ht="22.5" customHeight="1" x14ac:dyDescent="0.35">
      <c r="A16" s="54"/>
      <c r="B16" s="55"/>
      <c r="C16" s="56"/>
      <c r="D16" s="56"/>
      <c r="E16" s="5"/>
      <c r="F16" s="56"/>
      <c r="G16" s="56"/>
      <c r="H16" s="5"/>
      <c r="I16" s="5"/>
      <c r="J16" s="5"/>
      <c r="K16" s="5"/>
      <c r="L16" s="5"/>
      <c r="M16" s="6"/>
      <c r="N16" s="7"/>
      <c r="O16" s="57"/>
      <c r="P16" s="9"/>
      <c r="Q16" s="9"/>
      <c r="R16" s="9"/>
      <c r="S16" s="9"/>
      <c r="T16" s="9"/>
      <c r="U16" s="58"/>
    </row>
    <row r="17" spans="1:21" s="2" customFormat="1" ht="22.5" customHeight="1" x14ac:dyDescent="0.35">
      <c r="A17" s="54"/>
      <c r="B17" s="55"/>
      <c r="C17" s="56"/>
      <c r="D17" s="56"/>
      <c r="E17" s="5"/>
      <c r="F17" s="56"/>
      <c r="G17" s="56"/>
      <c r="H17" s="5"/>
      <c r="I17" s="5"/>
      <c r="J17" s="5"/>
      <c r="K17" s="5"/>
      <c r="L17" s="5"/>
      <c r="M17" s="6"/>
      <c r="N17" s="7"/>
      <c r="O17" s="57"/>
      <c r="P17" s="9"/>
      <c r="Q17" s="9"/>
      <c r="R17" s="9"/>
      <c r="S17" s="9"/>
      <c r="T17" s="9"/>
      <c r="U17" s="58"/>
    </row>
    <row r="18" spans="1:21" s="2" customFormat="1" ht="22.5" customHeight="1" x14ac:dyDescent="0.35">
      <c r="A18" s="54"/>
      <c r="B18" s="55"/>
      <c r="C18" s="56"/>
      <c r="D18" s="56"/>
      <c r="E18" s="5"/>
      <c r="F18" s="56"/>
      <c r="G18" s="56"/>
      <c r="H18" s="5"/>
      <c r="I18" s="5"/>
      <c r="J18" s="5"/>
      <c r="K18" s="5"/>
      <c r="L18" s="5"/>
      <c r="M18" s="6"/>
      <c r="N18" s="7"/>
      <c r="O18" s="57"/>
      <c r="P18" s="9"/>
      <c r="Q18" s="9"/>
      <c r="R18" s="9"/>
      <c r="S18" s="9"/>
      <c r="T18" s="9"/>
      <c r="U18" s="58"/>
    </row>
    <row r="19" spans="1:21" s="2" customFormat="1" ht="19.5" customHeight="1" x14ac:dyDescent="0.35">
      <c r="A19" s="3"/>
      <c r="B19" s="40"/>
      <c r="C19" s="4"/>
      <c r="D19" s="4"/>
      <c r="E19" s="5"/>
      <c r="F19" s="4"/>
      <c r="G19" s="4"/>
      <c r="H19" s="5"/>
      <c r="I19" s="5"/>
      <c r="J19" s="5"/>
      <c r="K19" s="5"/>
      <c r="L19" s="5"/>
      <c r="M19" s="6"/>
      <c r="N19" s="7"/>
      <c r="O19" s="11"/>
      <c r="P19" s="9"/>
      <c r="Q19" s="9"/>
      <c r="R19" s="9"/>
      <c r="S19" s="9"/>
      <c r="T19" s="9"/>
      <c r="U19" s="10"/>
    </row>
    <row r="20" spans="1:21" s="2" customFormat="1" ht="20.149999999999999" customHeight="1" x14ac:dyDescent="0.25">
      <c r="A20" s="12"/>
      <c r="B20" s="22"/>
      <c r="C20" s="5"/>
      <c r="D20" s="30"/>
      <c r="E20" s="12"/>
      <c r="F20" s="12"/>
      <c r="G20" s="12"/>
      <c r="H20" s="12"/>
      <c r="I20" s="12"/>
      <c r="J20" s="12"/>
      <c r="K20" s="13"/>
      <c r="L20" s="13"/>
      <c r="M20" s="13"/>
      <c r="N20" s="14"/>
      <c r="O20" s="14"/>
      <c r="P20" s="9"/>
      <c r="Q20" s="9"/>
      <c r="R20" s="9"/>
      <c r="S20" s="9"/>
      <c r="T20" s="9"/>
      <c r="U20" s="13"/>
    </row>
    <row r="21" spans="1:21" s="15" customFormat="1" ht="17.5" customHeight="1" x14ac:dyDescent="0.35">
      <c r="B21" s="16" t="s">
        <v>26</v>
      </c>
      <c r="C21" s="36"/>
      <c r="D21" s="31"/>
      <c r="E21" s="22"/>
      <c r="F21"/>
      <c r="G21" s="161" t="s">
        <v>27</v>
      </c>
      <c r="H21" s="161"/>
      <c r="I21" s="161"/>
      <c r="J21"/>
      <c r="K21" s="21"/>
      <c r="L21" s="21"/>
      <c r="M21" s="23"/>
      <c r="N21" s="24"/>
      <c r="O21" s="161" t="s">
        <v>28</v>
      </c>
      <c r="P21" s="161"/>
      <c r="Q21" s="25"/>
      <c r="R21" s="24"/>
      <c r="S21" s="26"/>
      <c r="T21" s="161" t="s">
        <v>29</v>
      </c>
      <c r="U21" s="161"/>
    </row>
    <row r="22" spans="1:21" ht="20.149999999999999" customHeight="1" x14ac:dyDescent="0.3">
      <c r="A22" s="12"/>
      <c r="B22" s="22"/>
      <c r="C22" s="5"/>
      <c r="D22" s="30"/>
      <c r="E22" s="12"/>
      <c r="F22" s="12"/>
      <c r="G22" s="12"/>
      <c r="H22" s="12"/>
      <c r="I22" s="12"/>
      <c r="J22" s="12"/>
      <c r="K22" s="13"/>
      <c r="L22" s="13"/>
      <c r="M22" s="13"/>
      <c r="N22" s="17"/>
      <c r="O22" s="13"/>
      <c r="P22" s="13"/>
      <c r="Q22" s="5"/>
      <c r="R22" s="5"/>
      <c r="S22" s="5"/>
      <c r="T22" s="5"/>
      <c r="U22" s="13"/>
    </row>
    <row r="28" spans="1:21" x14ac:dyDescent="0.35">
      <c r="L28" s="18"/>
    </row>
    <row r="29" spans="1:21" s="20" customFormat="1" ht="15.5" x14ac:dyDescent="0.35">
      <c r="A29" s="1"/>
      <c r="B29" s="41"/>
      <c r="C29" s="23"/>
      <c r="D29" s="32"/>
      <c r="E29" s="1"/>
      <c r="F29" s="1"/>
      <c r="G29" s="1"/>
      <c r="H29" s="1"/>
      <c r="I29" s="1"/>
      <c r="J29" s="1"/>
      <c r="K29" s="1"/>
      <c r="L29" s="1"/>
      <c r="M29" s="1"/>
      <c r="N29" s="19"/>
      <c r="O29" s="1"/>
      <c r="P29" s="1"/>
      <c r="Q29" s="1"/>
      <c r="R29" s="1"/>
      <c r="S29" s="1"/>
      <c r="T29" s="1"/>
      <c r="U29" s="1"/>
    </row>
  </sheetData>
  <mergeCells count="36">
    <mergeCell ref="A13:O13"/>
    <mergeCell ref="G21:I21"/>
    <mergeCell ref="O21:P21"/>
    <mergeCell ref="T21:U21"/>
    <mergeCell ref="G9:J9"/>
    <mergeCell ref="K9:M9"/>
    <mergeCell ref="N9:P9"/>
    <mergeCell ref="Q9:R9"/>
    <mergeCell ref="S9:T9"/>
    <mergeCell ref="U9:U10"/>
    <mergeCell ref="A9:A10"/>
    <mergeCell ref="B9:B10"/>
    <mergeCell ref="C9:C10"/>
    <mergeCell ref="D9:D10"/>
    <mergeCell ref="E9:E10"/>
    <mergeCell ref="F9:F10"/>
    <mergeCell ref="A7:D7"/>
    <mergeCell ref="E7:M7"/>
    <mergeCell ref="N7:U7"/>
    <mergeCell ref="A8:D8"/>
    <mergeCell ref="E8:M8"/>
    <mergeCell ref="N8:U8"/>
    <mergeCell ref="A5:D5"/>
    <mergeCell ref="E5:M5"/>
    <mergeCell ref="N5:U5"/>
    <mergeCell ref="A6:D6"/>
    <mergeCell ref="E6:M6"/>
    <mergeCell ref="N6:U6"/>
    <mergeCell ref="A4:D4"/>
    <mergeCell ref="E4:M4"/>
    <mergeCell ref="N4:U4"/>
    <mergeCell ref="A1:U1"/>
    <mergeCell ref="A2:U2"/>
    <mergeCell ref="A3:D3"/>
    <mergeCell ref="E3:M3"/>
    <mergeCell ref="N3:U3"/>
  </mergeCells>
  <conditionalFormatting sqref="B11:B12">
    <cfRule type="duplicateValues" dxfId="9" priority="177875"/>
    <cfRule type="duplicateValues" dxfId="8" priority="177876"/>
    <cfRule type="duplicateValues" dxfId="7" priority="177877"/>
  </conditionalFormatting>
  <conditionalFormatting sqref="B13:B1048576 B1:B10">
    <cfRule type="duplicateValues" dxfId="6" priority="19"/>
  </conditionalFormatting>
  <hyperlinks>
    <hyperlink ref="N8" r:id="rId1" display="suresh@humanaapparels.com" xr:uid="{B03032B3-2A33-42A5-9331-69ED151B4D6C}"/>
  </hyperlinks>
  <printOptions horizontalCentered="1"/>
  <pageMargins left="0.25" right="0.25" top="1.25" bottom="0.23622047244094499" header="0.31496062992126" footer="0.31496062992126"/>
  <pageSetup paperSize="9" scale="51" fitToHeight="0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BE644-677C-4407-AD24-FA83A444F0AB}">
  <sheetPr>
    <pageSetUpPr fitToPage="1"/>
  </sheetPr>
  <dimension ref="A1:U83"/>
  <sheetViews>
    <sheetView zoomScale="70" zoomScaleNormal="70" zoomScaleSheetLayoutView="80" workbookViewId="0">
      <pane ySplit="10" topLeftCell="A65" activePane="bottomLeft" state="frozen"/>
      <selection activeCell="D19" sqref="D19"/>
      <selection pane="bottomLeft" activeCell="F72" sqref="F72"/>
    </sheetView>
  </sheetViews>
  <sheetFormatPr defaultColWidth="9.1796875" defaultRowHeight="14.5" x14ac:dyDescent="0.35"/>
  <cols>
    <col min="1" max="1" width="5.7265625" style="1" customWidth="1"/>
    <col min="2" max="2" width="40.453125" style="41" customWidth="1"/>
    <col min="3" max="3" width="8.26953125" style="23" customWidth="1"/>
    <col min="4" max="4" width="17.54296875" style="32" customWidth="1"/>
    <col min="5" max="5" width="11.7265625" style="1" customWidth="1"/>
    <col min="6" max="6" width="16.453125" style="1" customWidth="1"/>
    <col min="7" max="7" width="11.54296875" style="1" customWidth="1"/>
    <col min="8" max="8" width="8.7265625" style="1" customWidth="1"/>
    <col min="9" max="9" width="8" style="1" customWidth="1"/>
    <col min="10" max="10" width="14.453125" style="1" customWidth="1"/>
    <col min="11" max="11" width="8.7265625" style="1" customWidth="1"/>
    <col min="12" max="12" width="9.26953125" style="1" customWidth="1"/>
    <col min="13" max="13" width="13.7265625" style="1" customWidth="1"/>
    <col min="14" max="14" width="8.7265625" style="19" customWidth="1"/>
    <col min="15" max="15" width="11" style="1" customWidth="1"/>
    <col min="16" max="16" width="13.7265625" style="1" customWidth="1"/>
    <col min="17" max="20" width="13.1796875" style="1" customWidth="1"/>
    <col min="21" max="21" width="25.26953125" style="1" customWidth="1"/>
    <col min="22" max="16384" width="9.1796875" style="1"/>
  </cols>
  <sheetData>
    <row r="1" spans="1:21" ht="30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2"/>
    </row>
    <row r="2" spans="1:21" ht="17.5" x14ac:dyDescent="0.3">
      <c r="A2" s="143" t="s">
        <v>34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</row>
    <row r="3" spans="1:21" ht="13.5" customHeight="1" x14ac:dyDescent="0.3">
      <c r="A3" s="134" t="s">
        <v>1</v>
      </c>
      <c r="B3" s="135"/>
      <c r="C3" s="135"/>
      <c r="D3" s="136"/>
      <c r="E3" s="146" t="str">
        <f>ALL!E3</f>
        <v>HAPL/Dept./ALL/2026/August/01</v>
      </c>
      <c r="F3" s="135"/>
      <c r="G3" s="135"/>
      <c r="H3" s="135"/>
      <c r="I3" s="135"/>
      <c r="J3" s="135"/>
      <c r="K3" s="135"/>
      <c r="L3" s="135"/>
      <c r="M3" s="135"/>
      <c r="N3" s="146" t="s">
        <v>125</v>
      </c>
      <c r="O3" s="135"/>
      <c r="P3" s="135"/>
      <c r="Q3" s="135"/>
      <c r="R3" s="135"/>
      <c r="S3" s="135"/>
      <c r="T3" s="135"/>
      <c r="U3" s="147"/>
    </row>
    <row r="4" spans="1:21" ht="13.5" customHeight="1" x14ac:dyDescent="0.3">
      <c r="A4" s="134" t="s">
        <v>2</v>
      </c>
      <c r="B4" s="135"/>
      <c r="C4" s="135"/>
      <c r="D4" s="136"/>
      <c r="E4" s="137">
        <f>ALL!E4</f>
        <v>46235</v>
      </c>
      <c r="F4" s="138"/>
      <c r="G4" s="138"/>
      <c r="H4" s="138"/>
      <c r="I4" s="138"/>
      <c r="J4" s="138"/>
      <c r="K4" s="138"/>
      <c r="L4" s="138"/>
      <c r="M4" s="139"/>
      <c r="N4" s="146" t="s">
        <v>127</v>
      </c>
      <c r="O4" s="135"/>
      <c r="P4" s="135"/>
      <c r="Q4" s="135"/>
      <c r="R4" s="135"/>
      <c r="S4" s="135"/>
      <c r="T4" s="135"/>
      <c r="U4" s="147"/>
    </row>
    <row r="5" spans="1:21" ht="13.5" customHeight="1" x14ac:dyDescent="0.3">
      <c r="A5" s="134" t="s">
        <v>3</v>
      </c>
      <c r="B5" s="135"/>
      <c r="C5" s="135"/>
      <c r="D5" s="136"/>
      <c r="E5" s="154" t="str">
        <f>ALL!E5</f>
        <v>Humana Apparels Pvt. Ltd.</v>
      </c>
      <c r="F5" s="155"/>
      <c r="G5" s="155"/>
      <c r="H5" s="155"/>
      <c r="I5" s="155"/>
      <c r="J5" s="155"/>
      <c r="K5" s="155"/>
      <c r="L5" s="155"/>
      <c r="M5" s="178"/>
      <c r="N5" s="146" t="s">
        <v>128</v>
      </c>
      <c r="O5" s="135"/>
      <c r="P5" s="135"/>
      <c r="Q5" s="135"/>
      <c r="R5" s="135"/>
      <c r="S5" s="135"/>
      <c r="T5" s="135"/>
      <c r="U5" s="147"/>
    </row>
    <row r="6" spans="1:21" ht="13.5" customHeight="1" x14ac:dyDescent="0.3">
      <c r="A6" s="134" t="s">
        <v>4</v>
      </c>
      <c r="B6" s="135"/>
      <c r="C6" s="135"/>
      <c r="D6" s="136"/>
      <c r="E6" s="146" t="str">
        <f>ALL!E6</f>
        <v>ALL</v>
      </c>
      <c r="F6" s="135"/>
      <c r="G6" s="135"/>
      <c r="H6" s="135"/>
      <c r="I6" s="135"/>
      <c r="J6" s="135"/>
      <c r="K6" s="135"/>
      <c r="L6" s="135"/>
      <c r="M6" s="136"/>
      <c r="N6" s="148" t="s">
        <v>126</v>
      </c>
      <c r="O6" s="149"/>
      <c r="P6" s="149"/>
      <c r="Q6" s="149"/>
      <c r="R6" s="149"/>
      <c r="S6" s="149"/>
      <c r="T6" s="149"/>
      <c r="U6" s="150"/>
    </row>
    <row r="7" spans="1:21" ht="13.5" customHeight="1" x14ac:dyDescent="0.3">
      <c r="A7" s="134" t="s">
        <v>5</v>
      </c>
      <c r="B7" s="135"/>
      <c r="C7" s="135"/>
      <c r="D7" s="136"/>
      <c r="E7" s="146" t="str">
        <f>ALL!E7</f>
        <v>ALL</v>
      </c>
      <c r="F7" s="135"/>
      <c r="G7" s="135"/>
      <c r="H7" s="135"/>
      <c r="I7" s="135"/>
      <c r="J7" s="135"/>
      <c r="K7" s="135"/>
      <c r="L7" s="135"/>
      <c r="M7" s="136"/>
      <c r="N7" s="148" t="s">
        <v>129</v>
      </c>
      <c r="O7" s="149"/>
      <c r="P7" s="149"/>
      <c r="Q7" s="149"/>
      <c r="R7" s="149"/>
      <c r="S7" s="149"/>
      <c r="T7" s="149"/>
      <c r="U7" s="150"/>
    </row>
    <row r="8" spans="1:21" ht="13.5" customHeight="1" thickBot="1" x14ac:dyDescent="0.35">
      <c r="A8" s="156" t="s">
        <v>6</v>
      </c>
      <c r="B8" s="157"/>
      <c r="C8" s="157"/>
      <c r="D8" s="158"/>
      <c r="E8" s="186" t="str">
        <f>ALL!E8</f>
        <v>amirul@humanaapparels.com</v>
      </c>
      <c r="F8" s="152"/>
      <c r="G8" s="152"/>
      <c r="H8" s="152"/>
      <c r="I8" s="152"/>
      <c r="J8" s="152"/>
      <c r="K8" s="152"/>
      <c r="L8" s="152"/>
      <c r="M8" s="187"/>
      <c r="N8" s="151" t="s">
        <v>69</v>
      </c>
      <c r="O8" s="152"/>
      <c r="P8" s="152"/>
      <c r="Q8" s="152"/>
      <c r="R8" s="152"/>
      <c r="S8" s="152"/>
      <c r="T8" s="152"/>
      <c r="U8" s="153"/>
    </row>
    <row r="9" spans="1:21" ht="32.15" customHeight="1" x14ac:dyDescent="0.3">
      <c r="A9" s="165" t="s">
        <v>7</v>
      </c>
      <c r="B9" s="182" t="s">
        <v>8</v>
      </c>
      <c r="C9" s="171" t="s">
        <v>30</v>
      </c>
      <c r="D9" s="171" t="s">
        <v>9</v>
      </c>
      <c r="E9" s="171" t="s">
        <v>10</v>
      </c>
      <c r="F9" s="171" t="s">
        <v>33</v>
      </c>
      <c r="G9" s="171" t="s">
        <v>11</v>
      </c>
      <c r="H9" s="171"/>
      <c r="I9" s="171"/>
      <c r="J9" s="171"/>
      <c r="K9" s="171" t="s">
        <v>12</v>
      </c>
      <c r="L9" s="171"/>
      <c r="M9" s="171"/>
      <c r="N9" s="171" t="s">
        <v>13</v>
      </c>
      <c r="O9" s="171"/>
      <c r="P9" s="171"/>
      <c r="Q9" s="171" t="s">
        <v>67</v>
      </c>
      <c r="R9" s="171"/>
      <c r="S9" s="171" t="s">
        <v>88</v>
      </c>
      <c r="T9" s="171"/>
      <c r="U9" s="173" t="s">
        <v>16</v>
      </c>
    </row>
    <row r="10" spans="1:21" ht="32.15" customHeight="1" thickBot="1" x14ac:dyDescent="0.35">
      <c r="A10" s="166"/>
      <c r="B10" s="183"/>
      <c r="C10" s="172"/>
      <c r="D10" s="172"/>
      <c r="E10" s="172"/>
      <c r="F10" s="172"/>
      <c r="G10" s="37" t="s">
        <v>17</v>
      </c>
      <c r="H10" s="37" t="s">
        <v>18</v>
      </c>
      <c r="I10" s="37" t="s">
        <v>19</v>
      </c>
      <c r="J10" s="37" t="s">
        <v>20</v>
      </c>
      <c r="K10" s="38" t="s">
        <v>21</v>
      </c>
      <c r="L10" s="37" t="s">
        <v>31</v>
      </c>
      <c r="M10" s="37" t="s">
        <v>22</v>
      </c>
      <c r="N10" s="39" t="s">
        <v>21</v>
      </c>
      <c r="O10" s="37" t="s">
        <v>23</v>
      </c>
      <c r="P10" s="38" t="s">
        <v>24</v>
      </c>
      <c r="Q10" s="37" t="s">
        <v>32</v>
      </c>
      <c r="R10" s="38" t="s">
        <v>25</v>
      </c>
      <c r="S10" s="37" t="s">
        <v>32</v>
      </c>
      <c r="T10" s="38" t="s">
        <v>25</v>
      </c>
      <c r="U10" s="174"/>
    </row>
    <row r="11" spans="1:21" ht="28" customHeight="1" x14ac:dyDescent="0.3">
      <c r="A11" s="28">
        <v>1</v>
      </c>
      <c r="B11" s="44" t="s">
        <v>108</v>
      </c>
      <c r="C11" s="44" t="s">
        <v>37</v>
      </c>
      <c r="D11" s="47"/>
      <c r="E11" s="46" t="s">
        <v>103</v>
      </c>
      <c r="F11" s="49" t="s">
        <v>44</v>
      </c>
      <c r="G11" s="44">
        <v>12</v>
      </c>
      <c r="H11" s="46">
        <v>7</v>
      </c>
      <c r="I11" s="46">
        <v>1</v>
      </c>
      <c r="J11" s="46">
        <v>10</v>
      </c>
      <c r="K11" s="46">
        <v>6</v>
      </c>
      <c r="L11" s="52">
        <v>368</v>
      </c>
      <c r="M11" s="75">
        <v>46222</v>
      </c>
      <c r="N11" s="49">
        <v>5</v>
      </c>
      <c r="O11" s="77">
        <v>368</v>
      </c>
      <c r="P11" s="63">
        <v>1840</v>
      </c>
      <c r="Q11" s="29"/>
      <c r="R11" s="29"/>
      <c r="S11" s="29"/>
      <c r="T11" s="29"/>
      <c r="U11" s="48"/>
    </row>
    <row r="12" spans="1:21" ht="28" customHeight="1" x14ac:dyDescent="0.3">
      <c r="A12" s="28">
        <v>2</v>
      </c>
      <c r="B12" s="44" t="s">
        <v>55</v>
      </c>
      <c r="C12" s="44" t="s">
        <v>37</v>
      </c>
      <c r="D12" s="47"/>
      <c r="E12" s="46" t="s">
        <v>103</v>
      </c>
      <c r="F12" s="49" t="s">
        <v>151</v>
      </c>
      <c r="G12" s="44">
        <v>450</v>
      </c>
      <c r="H12" s="46">
        <v>50</v>
      </c>
      <c r="I12" s="46">
        <v>59</v>
      </c>
      <c r="J12" s="46">
        <v>509</v>
      </c>
      <c r="K12" s="46">
        <v>540</v>
      </c>
      <c r="L12" s="52">
        <v>14.5</v>
      </c>
      <c r="M12" s="75">
        <v>46222</v>
      </c>
      <c r="N12" s="49">
        <v>400</v>
      </c>
      <c r="O12" s="77">
        <v>14.5</v>
      </c>
      <c r="P12" s="63">
        <v>5800</v>
      </c>
      <c r="Q12" s="29"/>
      <c r="R12" s="29"/>
      <c r="S12" s="29"/>
      <c r="T12" s="29"/>
      <c r="U12" s="48"/>
    </row>
    <row r="13" spans="1:21" ht="28" customHeight="1" x14ac:dyDescent="0.3">
      <c r="A13" s="28">
        <v>3</v>
      </c>
      <c r="B13" s="46" t="s">
        <v>213</v>
      </c>
      <c r="C13" s="44" t="s">
        <v>37</v>
      </c>
      <c r="D13" s="47"/>
      <c r="E13" s="46" t="s">
        <v>103</v>
      </c>
      <c r="F13" s="49" t="s">
        <v>44</v>
      </c>
      <c r="G13" s="46">
        <v>300</v>
      </c>
      <c r="H13" s="46">
        <v>110</v>
      </c>
      <c r="I13" s="46">
        <v>24</v>
      </c>
      <c r="J13" s="46">
        <v>206</v>
      </c>
      <c r="K13" s="46">
        <v>186</v>
      </c>
      <c r="L13" s="52">
        <v>16</v>
      </c>
      <c r="M13" s="75">
        <v>46203</v>
      </c>
      <c r="N13" s="49">
        <v>190</v>
      </c>
      <c r="O13" s="77">
        <v>16</v>
      </c>
      <c r="P13" s="63">
        <v>3040</v>
      </c>
      <c r="Q13" s="29"/>
      <c r="R13" s="29"/>
      <c r="S13" s="29"/>
      <c r="T13" s="29"/>
      <c r="U13" s="48"/>
    </row>
    <row r="14" spans="1:21" ht="28" customHeight="1" x14ac:dyDescent="0.3">
      <c r="A14" s="28">
        <v>4</v>
      </c>
      <c r="B14" s="44" t="s">
        <v>214</v>
      </c>
      <c r="C14" s="44" t="s">
        <v>37</v>
      </c>
      <c r="D14" s="47"/>
      <c r="E14" s="46" t="s">
        <v>103</v>
      </c>
      <c r="F14" s="49" t="s">
        <v>44</v>
      </c>
      <c r="G14" s="44">
        <v>100</v>
      </c>
      <c r="H14" s="46">
        <v>59</v>
      </c>
      <c r="I14" s="46">
        <v>7</v>
      </c>
      <c r="J14" s="46">
        <v>60</v>
      </c>
      <c r="K14" s="46">
        <v>350</v>
      </c>
      <c r="L14" s="52">
        <v>18</v>
      </c>
      <c r="M14" s="75">
        <v>46079</v>
      </c>
      <c r="N14" s="49">
        <v>41</v>
      </c>
      <c r="O14" s="77">
        <v>18</v>
      </c>
      <c r="P14" s="63">
        <v>738</v>
      </c>
      <c r="Q14" s="29"/>
      <c r="R14" s="29"/>
      <c r="S14" s="29"/>
      <c r="T14" s="29"/>
      <c r="U14" s="48"/>
    </row>
    <row r="15" spans="1:21" ht="28" customHeight="1" x14ac:dyDescent="0.3">
      <c r="A15" s="28">
        <v>5</v>
      </c>
      <c r="B15" s="44" t="s">
        <v>188</v>
      </c>
      <c r="C15" s="44" t="s">
        <v>37</v>
      </c>
      <c r="D15" s="46"/>
      <c r="E15" s="46" t="s">
        <v>103</v>
      </c>
      <c r="F15" s="49" t="s">
        <v>44</v>
      </c>
      <c r="G15" s="44">
        <v>5</v>
      </c>
      <c r="H15" s="46">
        <v>3</v>
      </c>
      <c r="I15" s="46">
        <v>1</v>
      </c>
      <c r="J15" s="46">
        <v>5</v>
      </c>
      <c r="K15" s="46">
        <v>4</v>
      </c>
      <c r="L15" s="52">
        <v>75</v>
      </c>
      <c r="M15" s="75">
        <v>46221</v>
      </c>
      <c r="N15" s="49">
        <v>2</v>
      </c>
      <c r="O15" s="77">
        <v>75</v>
      </c>
      <c r="P15" s="63">
        <v>150</v>
      </c>
      <c r="Q15" s="29"/>
      <c r="R15" s="29"/>
      <c r="S15" s="29"/>
      <c r="T15" s="29"/>
      <c r="U15" s="48"/>
    </row>
    <row r="16" spans="1:21" ht="28" customHeight="1" x14ac:dyDescent="0.3">
      <c r="A16" s="28">
        <v>6</v>
      </c>
      <c r="B16" s="44" t="s">
        <v>131</v>
      </c>
      <c r="C16" s="44" t="s">
        <v>37</v>
      </c>
      <c r="D16" s="47"/>
      <c r="E16" s="46" t="s">
        <v>103</v>
      </c>
      <c r="F16" s="46" t="s">
        <v>44</v>
      </c>
      <c r="G16" s="46">
        <v>48</v>
      </c>
      <c r="H16" s="46">
        <v>28</v>
      </c>
      <c r="I16" s="46">
        <v>4</v>
      </c>
      <c r="J16" s="46">
        <v>38</v>
      </c>
      <c r="K16" s="46">
        <v>22</v>
      </c>
      <c r="L16" s="52">
        <v>70</v>
      </c>
      <c r="M16" s="75">
        <v>46222</v>
      </c>
      <c r="N16" s="49">
        <v>20</v>
      </c>
      <c r="O16" s="77">
        <v>70</v>
      </c>
      <c r="P16" s="63">
        <v>1400</v>
      </c>
      <c r="Q16" s="29"/>
      <c r="R16" s="29"/>
      <c r="S16" s="29"/>
      <c r="T16" s="29"/>
      <c r="U16" s="48"/>
    </row>
    <row r="17" spans="1:21" ht="28" customHeight="1" x14ac:dyDescent="0.3">
      <c r="A17" s="28">
        <v>7</v>
      </c>
      <c r="B17" s="44" t="s">
        <v>329</v>
      </c>
      <c r="C17" s="44" t="s">
        <v>37</v>
      </c>
      <c r="D17" s="47"/>
      <c r="E17" s="46" t="s">
        <v>103</v>
      </c>
      <c r="F17" s="46" t="s">
        <v>44</v>
      </c>
      <c r="G17" s="46">
        <v>2</v>
      </c>
      <c r="H17" s="46">
        <v>0</v>
      </c>
      <c r="I17" s="46">
        <v>0</v>
      </c>
      <c r="J17" s="46">
        <v>0</v>
      </c>
      <c r="K17" s="46">
        <v>0</v>
      </c>
      <c r="L17" s="52">
        <v>0</v>
      </c>
      <c r="M17" s="75">
        <v>0</v>
      </c>
      <c r="N17" s="49">
        <v>2</v>
      </c>
      <c r="O17" s="77">
        <v>0</v>
      </c>
      <c r="P17" s="63">
        <v>0</v>
      </c>
      <c r="Q17" s="29"/>
      <c r="R17" s="29"/>
      <c r="S17" s="29"/>
      <c r="T17" s="29"/>
      <c r="U17" s="48"/>
    </row>
    <row r="18" spans="1:21" ht="28" customHeight="1" x14ac:dyDescent="0.3">
      <c r="A18" s="28">
        <v>8</v>
      </c>
      <c r="B18" s="44" t="s">
        <v>136</v>
      </c>
      <c r="C18" s="44" t="s">
        <v>45</v>
      </c>
      <c r="D18" s="43"/>
      <c r="E18" s="46" t="s">
        <v>103</v>
      </c>
      <c r="F18" s="46" t="s">
        <v>168</v>
      </c>
      <c r="G18" s="44">
        <v>20</v>
      </c>
      <c r="H18" s="46">
        <v>0</v>
      </c>
      <c r="I18" s="46">
        <v>2</v>
      </c>
      <c r="J18" s="46">
        <v>20</v>
      </c>
      <c r="K18" s="46">
        <v>20</v>
      </c>
      <c r="L18" s="52">
        <v>340</v>
      </c>
      <c r="M18" s="75">
        <v>46211</v>
      </c>
      <c r="N18" s="49">
        <v>20</v>
      </c>
      <c r="O18" s="77">
        <v>340</v>
      </c>
      <c r="P18" s="63">
        <v>6800</v>
      </c>
      <c r="Q18" s="29"/>
      <c r="R18" s="29"/>
      <c r="S18" s="29"/>
      <c r="T18" s="29"/>
      <c r="U18" s="48"/>
    </row>
    <row r="19" spans="1:21" ht="28" customHeight="1" x14ac:dyDescent="0.3">
      <c r="A19" s="28">
        <v>9</v>
      </c>
      <c r="B19" s="44" t="s">
        <v>169</v>
      </c>
      <c r="C19" s="44" t="s">
        <v>37</v>
      </c>
      <c r="D19" s="47" t="s">
        <v>279</v>
      </c>
      <c r="E19" s="46" t="s">
        <v>103</v>
      </c>
      <c r="F19" s="46" t="s">
        <v>168</v>
      </c>
      <c r="G19" s="44">
        <v>15</v>
      </c>
      <c r="H19" s="46">
        <v>0</v>
      </c>
      <c r="I19" s="46">
        <v>2</v>
      </c>
      <c r="J19" s="46">
        <v>19</v>
      </c>
      <c r="K19" s="46">
        <v>37</v>
      </c>
      <c r="L19" s="52">
        <v>20</v>
      </c>
      <c r="M19" s="75">
        <v>46167</v>
      </c>
      <c r="N19" s="49">
        <v>15</v>
      </c>
      <c r="O19" s="77">
        <v>20</v>
      </c>
      <c r="P19" s="63">
        <v>300</v>
      </c>
      <c r="Q19" s="29"/>
      <c r="R19" s="29"/>
      <c r="S19" s="29"/>
      <c r="T19" s="29"/>
      <c r="U19" s="48"/>
    </row>
    <row r="20" spans="1:21" ht="28" customHeight="1" x14ac:dyDescent="0.3">
      <c r="A20" s="28">
        <v>10</v>
      </c>
      <c r="B20" s="44" t="s">
        <v>314</v>
      </c>
      <c r="C20" s="44" t="s">
        <v>37</v>
      </c>
      <c r="D20" s="47" t="s">
        <v>280</v>
      </c>
      <c r="E20" s="46" t="s">
        <v>42</v>
      </c>
      <c r="F20" s="49" t="s">
        <v>168</v>
      </c>
      <c r="G20" s="44">
        <v>15</v>
      </c>
      <c r="H20" s="46">
        <v>0</v>
      </c>
      <c r="I20" s="46">
        <v>0</v>
      </c>
      <c r="J20" s="46">
        <v>0</v>
      </c>
      <c r="K20" s="46">
        <v>0</v>
      </c>
      <c r="L20" s="52">
        <v>0</v>
      </c>
      <c r="M20" s="75">
        <v>0</v>
      </c>
      <c r="N20" s="49">
        <v>15</v>
      </c>
      <c r="O20" s="77">
        <v>0</v>
      </c>
      <c r="P20" s="63">
        <v>0</v>
      </c>
      <c r="Q20" s="29"/>
      <c r="R20" s="29"/>
      <c r="S20" s="29"/>
      <c r="T20" s="29"/>
      <c r="U20" s="48"/>
    </row>
    <row r="21" spans="1:21" ht="28" customHeight="1" x14ac:dyDescent="0.3">
      <c r="A21" s="28">
        <v>11</v>
      </c>
      <c r="B21" s="44" t="s">
        <v>119</v>
      </c>
      <c r="C21" s="44" t="s">
        <v>37</v>
      </c>
      <c r="D21" s="47"/>
      <c r="E21" s="46" t="s">
        <v>103</v>
      </c>
      <c r="F21" s="49" t="s">
        <v>168</v>
      </c>
      <c r="G21" s="44">
        <v>10</v>
      </c>
      <c r="H21" s="46">
        <v>0</v>
      </c>
      <c r="I21" s="46">
        <v>1</v>
      </c>
      <c r="J21" s="46">
        <v>10</v>
      </c>
      <c r="K21" s="46">
        <v>10</v>
      </c>
      <c r="L21" s="52">
        <v>25</v>
      </c>
      <c r="M21" s="75">
        <v>46210</v>
      </c>
      <c r="N21" s="49">
        <v>10</v>
      </c>
      <c r="O21" s="77">
        <v>25</v>
      </c>
      <c r="P21" s="63">
        <v>250</v>
      </c>
      <c r="Q21" s="29"/>
      <c r="R21" s="29"/>
      <c r="S21" s="29"/>
      <c r="T21" s="29"/>
      <c r="U21" s="48"/>
    </row>
    <row r="22" spans="1:21" ht="28" customHeight="1" x14ac:dyDescent="0.3">
      <c r="A22" s="28">
        <v>12</v>
      </c>
      <c r="B22" s="44" t="s">
        <v>170</v>
      </c>
      <c r="C22" s="44" t="s">
        <v>37</v>
      </c>
      <c r="D22" s="47" t="s">
        <v>281</v>
      </c>
      <c r="E22" s="46" t="s">
        <v>103</v>
      </c>
      <c r="F22" s="49" t="s">
        <v>168</v>
      </c>
      <c r="G22" s="44">
        <v>5</v>
      </c>
      <c r="H22" s="46">
        <v>0</v>
      </c>
      <c r="I22" s="46">
        <v>0</v>
      </c>
      <c r="J22" s="46">
        <v>0</v>
      </c>
      <c r="K22" s="46">
        <v>6</v>
      </c>
      <c r="L22" s="52">
        <v>140</v>
      </c>
      <c r="M22" s="75">
        <v>45635</v>
      </c>
      <c r="N22" s="49">
        <v>5</v>
      </c>
      <c r="O22" s="77">
        <v>140</v>
      </c>
      <c r="P22" s="63">
        <v>700</v>
      </c>
      <c r="Q22" s="29"/>
      <c r="R22" s="29"/>
      <c r="S22" s="29"/>
      <c r="T22" s="29"/>
      <c r="U22" s="48"/>
    </row>
    <row r="23" spans="1:21" ht="28" customHeight="1" x14ac:dyDescent="0.3">
      <c r="A23" s="28">
        <v>13</v>
      </c>
      <c r="B23" s="44" t="s">
        <v>171</v>
      </c>
      <c r="C23" s="44" t="s">
        <v>37</v>
      </c>
      <c r="D23" s="47"/>
      <c r="E23" s="46" t="s">
        <v>103</v>
      </c>
      <c r="F23" s="49" t="s">
        <v>168</v>
      </c>
      <c r="G23" s="44">
        <v>5</v>
      </c>
      <c r="H23" s="46">
        <v>0</v>
      </c>
      <c r="I23" s="46">
        <v>0</v>
      </c>
      <c r="J23" s="46">
        <v>0</v>
      </c>
      <c r="K23" s="46">
        <v>6</v>
      </c>
      <c r="L23" s="52">
        <v>150</v>
      </c>
      <c r="M23" s="75">
        <v>45635</v>
      </c>
      <c r="N23" s="49">
        <v>5</v>
      </c>
      <c r="O23" s="77">
        <v>150</v>
      </c>
      <c r="P23" s="63">
        <v>750</v>
      </c>
      <c r="Q23" s="29"/>
      <c r="R23" s="29"/>
      <c r="S23" s="29"/>
      <c r="T23" s="29"/>
      <c r="U23" s="48"/>
    </row>
    <row r="24" spans="1:21" ht="28" customHeight="1" x14ac:dyDescent="0.3">
      <c r="A24" s="28">
        <v>14</v>
      </c>
      <c r="B24" s="46" t="s">
        <v>174</v>
      </c>
      <c r="C24" s="44" t="s">
        <v>37</v>
      </c>
      <c r="D24" s="47"/>
      <c r="E24" s="46" t="s">
        <v>103</v>
      </c>
      <c r="F24" s="49" t="s">
        <v>168</v>
      </c>
      <c r="G24" s="46">
        <v>5</v>
      </c>
      <c r="H24" s="46">
        <v>0</v>
      </c>
      <c r="I24" s="46">
        <v>0</v>
      </c>
      <c r="J24" s="46">
        <v>0</v>
      </c>
      <c r="K24" s="46">
        <v>0</v>
      </c>
      <c r="L24" s="52">
        <v>0</v>
      </c>
      <c r="M24" s="75">
        <v>0</v>
      </c>
      <c r="N24" s="49">
        <v>5</v>
      </c>
      <c r="O24" s="77">
        <v>0</v>
      </c>
      <c r="P24" s="63">
        <v>0</v>
      </c>
      <c r="Q24" s="29"/>
      <c r="R24" s="29"/>
      <c r="S24" s="29"/>
      <c r="T24" s="29"/>
      <c r="U24" s="48"/>
    </row>
    <row r="25" spans="1:21" ht="28" customHeight="1" x14ac:dyDescent="0.3">
      <c r="A25" s="28">
        <v>15</v>
      </c>
      <c r="B25" s="44" t="s">
        <v>172</v>
      </c>
      <c r="C25" s="44" t="s">
        <v>37</v>
      </c>
      <c r="D25" s="47"/>
      <c r="E25" s="46" t="s">
        <v>103</v>
      </c>
      <c r="F25" s="49" t="s">
        <v>168</v>
      </c>
      <c r="G25" s="44">
        <v>5</v>
      </c>
      <c r="H25" s="46">
        <v>0</v>
      </c>
      <c r="I25" s="46">
        <v>0</v>
      </c>
      <c r="J25" s="46">
        <v>0</v>
      </c>
      <c r="K25" s="46">
        <v>1</v>
      </c>
      <c r="L25" s="52">
        <v>170</v>
      </c>
      <c r="M25" s="75">
        <v>45635</v>
      </c>
      <c r="N25" s="49">
        <v>5</v>
      </c>
      <c r="O25" s="77">
        <v>170</v>
      </c>
      <c r="P25" s="63">
        <v>850</v>
      </c>
      <c r="Q25" s="29"/>
      <c r="R25" s="29"/>
      <c r="S25" s="29"/>
      <c r="T25" s="29"/>
      <c r="U25" s="48"/>
    </row>
    <row r="26" spans="1:21" ht="28" customHeight="1" x14ac:dyDescent="0.3">
      <c r="A26" s="28">
        <v>16</v>
      </c>
      <c r="B26" s="44" t="s">
        <v>173</v>
      </c>
      <c r="C26" s="44" t="s">
        <v>37</v>
      </c>
      <c r="D26" s="46"/>
      <c r="E26" s="46" t="s">
        <v>103</v>
      </c>
      <c r="F26" s="49" t="s">
        <v>168</v>
      </c>
      <c r="G26" s="44">
        <v>5</v>
      </c>
      <c r="H26" s="46">
        <v>0</v>
      </c>
      <c r="I26" s="46">
        <v>0</v>
      </c>
      <c r="J26" s="46">
        <v>0</v>
      </c>
      <c r="K26" s="46">
        <v>1</v>
      </c>
      <c r="L26" s="52">
        <v>170</v>
      </c>
      <c r="M26" s="75">
        <v>45635</v>
      </c>
      <c r="N26" s="49">
        <v>5</v>
      </c>
      <c r="O26" s="77">
        <v>170</v>
      </c>
      <c r="P26" s="63">
        <v>850</v>
      </c>
      <c r="Q26" s="29"/>
      <c r="R26" s="29"/>
      <c r="S26" s="29"/>
      <c r="T26" s="29"/>
      <c r="U26" s="48"/>
    </row>
    <row r="27" spans="1:21" ht="28" customHeight="1" x14ac:dyDescent="0.3">
      <c r="A27" s="28">
        <v>17</v>
      </c>
      <c r="B27" s="44" t="s">
        <v>120</v>
      </c>
      <c r="C27" s="44" t="s">
        <v>37</v>
      </c>
      <c r="D27" s="47" t="s">
        <v>175</v>
      </c>
      <c r="E27" s="46" t="s">
        <v>103</v>
      </c>
      <c r="F27" s="46" t="s">
        <v>168</v>
      </c>
      <c r="G27" s="46">
        <v>30</v>
      </c>
      <c r="H27" s="46">
        <v>0</v>
      </c>
      <c r="I27" s="46">
        <v>2</v>
      </c>
      <c r="J27" s="46">
        <v>15</v>
      </c>
      <c r="K27" s="46">
        <v>15</v>
      </c>
      <c r="L27" s="52">
        <v>10</v>
      </c>
      <c r="M27" s="75">
        <v>46203</v>
      </c>
      <c r="N27" s="49">
        <v>30</v>
      </c>
      <c r="O27" s="77">
        <v>10</v>
      </c>
      <c r="P27" s="63">
        <v>300</v>
      </c>
      <c r="Q27" s="29"/>
      <c r="R27" s="29"/>
      <c r="S27" s="29"/>
      <c r="T27" s="29"/>
      <c r="U27" s="48"/>
    </row>
    <row r="28" spans="1:21" ht="28" customHeight="1" x14ac:dyDescent="0.3">
      <c r="A28" s="28">
        <v>18</v>
      </c>
      <c r="B28" s="44" t="s">
        <v>282</v>
      </c>
      <c r="C28" s="44" t="s">
        <v>37</v>
      </c>
      <c r="D28" s="47" t="s">
        <v>283</v>
      </c>
      <c r="E28" s="46" t="s">
        <v>42</v>
      </c>
      <c r="F28" s="46" t="s">
        <v>168</v>
      </c>
      <c r="G28" s="46">
        <v>2</v>
      </c>
      <c r="H28" s="46">
        <v>0</v>
      </c>
      <c r="I28" s="46">
        <v>0</v>
      </c>
      <c r="J28" s="46">
        <v>1</v>
      </c>
      <c r="K28" s="46">
        <v>1</v>
      </c>
      <c r="L28" s="52">
        <v>600</v>
      </c>
      <c r="M28" s="75">
        <v>46219</v>
      </c>
      <c r="N28" s="49">
        <v>2</v>
      </c>
      <c r="O28" s="77">
        <v>600</v>
      </c>
      <c r="P28" s="63">
        <v>1200</v>
      </c>
      <c r="Q28" s="29"/>
      <c r="R28" s="29"/>
      <c r="S28" s="29"/>
      <c r="T28" s="29"/>
      <c r="U28" s="48"/>
    </row>
    <row r="29" spans="1:21" ht="28" customHeight="1" x14ac:dyDescent="0.3">
      <c r="A29" s="28">
        <v>19</v>
      </c>
      <c r="B29" s="44" t="s">
        <v>284</v>
      </c>
      <c r="C29" s="44" t="s">
        <v>37</v>
      </c>
      <c r="D29" s="47" t="s">
        <v>279</v>
      </c>
      <c r="E29" s="46" t="s">
        <v>103</v>
      </c>
      <c r="F29" s="49" t="s">
        <v>168</v>
      </c>
      <c r="G29" s="44">
        <v>5</v>
      </c>
      <c r="H29" s="46">
        <v>0</v>
      </c>
      <c r="I29" s="46">
        <v>0</v>
      </c>
      <c r="J29" s="46">
        <v>0</v>
      </c>
      <c r="K29" s="46">
        <v>5</v>
      </c>
      <c r="L29" s="52">
        <v>650</v>
      </c>
      <c r="M29" s="75">
        <v>46119</v>
      </c>
      <c r="N29" s="49">
        <v>5</v>
      </c>
      <c r="O29" s="77">
        <v>650</v>
      </c>
      <c r="P29" s="63">
        <v>3250</v>
      </c>
      <c r="Q29" s="29"/>
      <c r="R29" s="29"/>
      <c r="S29" s="29"/>
      <c r="T29" s="29"/>
      <c r="U29" s="48"/>
    </row>
    <row r="30" spans="1:21" ht="28" customHeight="1" x14ac:dyDescent="0.3">
      <c r="A30" s="28">
        <v>20</v>
      </c>
      <c r="B30" s="46" t="s">
        <v>285</v>
      </c>
      <c r="C30" s="44" t="s">
        <v>37</v>
      </c>
      <c r="D30" s="47" t="s">
        <v>286</v>
      </c>
      <c r="E30" s="46" t="s">
        <v>103</v>
      </c>
      <c r="F30" s="49" t="s">
        <v>168</v>
      </c>
      <c r="G30" s="46">
        <v>5</v>
      </c>
      <c r="H30" s="46">
        <v>0</v>
      </c>
      <c r="I30" s="46">
        <v>0</v>
      </c>
      <c r="J30" s="46">
        <v>0</v>
      </c>
      <c r="K30" s="46">
        <v>5</v>
      </c>
      <c r="L30" s="52">
        <v>650</v>
      </c>
      <c r="M30" s="75">
        <v>46119</v>
      </c>
      <c r="N30" s="49">
        <v>5</v>
      </c>
      <c r="O30" s="77">
        <v>650</v>
      </c>
      <c r="P30" s="63">
        <v>3250</v>
      </c>
      <c r="Q30" s="29"/>
      <c r="R30" s="29"/>
      <c r="S30" s="29"/>
      <c r="T30" s="29"/>
      <c r="U30" s="48"/>
    </row>
    <row r="31" spans="1:21" ht="28" customHeight="1" x14ac:dyDescent="0.3">
      <c r="A31" s="28">
        <v>21</v>
      </c>
      <c r="B31" s="44" t="s">
        <v>287</v>
      </c>
      <c r="C31" s="44" t="s">
        <v>37</v>
      </c>
      <c r="D31" s="47" t="s">
        <v>279</v>
      </c>
      <c r="E31" s="46" t="s">
        <v>103</v>
      </c>
      <c r="F31" s="49" t="s">
        <v>168</v>
      </c>
      <c r="G31" s="44">
        <v>5</v>
      </c>
      <c r="H31" s="46">
        <v>0</v>
      </c>
      <c r="I31" s="46">
        <v>0</v>
      </c>
      <c r="J31" s="46">
        <v>0</v>
      </c>
      <c r="K31" s="46">
        <v>5</v>
      </c>
      <c r="L31" s="52">
        <v>850</v>
      </c>
      <c r="M31" s="75">
        <v>46119</v>
      </c>
      <c r="N31" s="49">
        <v>5</v>
      </c>
      <c r="O31" s="77">
        <v>850</v>
      </c>
      <c r="P31" s="63">
        <v>4250</v>
      </c>
      <c r="Q31" s="29"/>
      <c r="R31" s="29"/>
      <c r="S31" s="29"/>
      <c r="T31" s="29"/>
      <c r="U31" s="48"/>
    </row>
    <row r="32" spans="1:21" ht="28" customHeight="1" x14ac:dyDescent="0.3">
      <c r="A32" s="28">
        <v>22</v>
      </c>
      <c r="B32" s="44" t="s">
        <v>130</v>
      </c>
      <c r="C32" s="44" t="s">
        <v>37</v>
      </c>
      <c r="D32" s="46"/>
      <c r="E32" s="46" t="s">
        <v>103</v>
      </c>
      <c r="F32" s="49" t="s">
        <v>168</v>
      </c>
      <c r="G32" s="44">
        <v>150</v>
      </c>
      <c r="H32" s="46">
        <v>0</v>
      </c>
      <c r="I32" s="46">
        <v>5</v>
      </c>
      <c r="J32" s="46">
        <v>40</v>
      </c>
      <c r="K32" s="46">
        <v>100</v>
      </c>
      <c r="L32" s="52">
        <v>19</v>
      </c>
      <c r="M32" s="75">
        <v>46203</v>
      </c>
      <c r="N32" s="49">
        <v>150</v>
      </c>
      <c r="O32" s="77">
        <v>19</v>
      </c>
      <c r="P32" s="63">
        <v>2850</v>
      </c>
      <c r="Q32" s="29"/>
      <c r="R32" s="29"/>
      <c r="S32" s="29"/>
      <c r="T32" s="29"/>
      <c r="U32" s="48"/>
    </row>
    <row r="33" spans="1:21" ht="28" customHeight="1" x14ac:dyDescent="0.3">
      <c r="A33" s="28">
        <v>23</v>
      </c>
      <c r="B33" s="44" t="s">
        <v>288</v>
      </c>
      <c r="C33" s="44" t="s">
        <v>37</v>
      </c>
      <c r="D33" s="47" t="s">
        <v>286</v>
      </c>
      <c r="E33" s="46" t="s">
        <v>103</v>
      </c>
      <c r="F33" s="46" t="s">
        <v>168</v>
      </c>
      <c r="G33" s="46">
        <v>5</v>
      </c>
      <c r="H33" s="46">
        <v>0</v>
      </c>
      <c r="I33" s="46">
        <v>0</v>
      </c>
      <c r="J33" s="46">
        <v>0</v>
      </c>
      <c r="K33" s="46">
        <v>5</v>
      </c>
      <c r="L33" s="52">
        <v>450</v>
      </c>
      <c r="M33" s="75">
        <v>46119</v>
      </c>
      <c r="N33" s="49">
        <v>5</v>
      </c>
      <c r="O33" s="77">
        <v>450</v>
      </c>
      <c r="P33" s="63">
        <v>2250</v>
      </c>
      <c r="Q33" s="29"/>
      <c r="R33" s="29"/>
      <c r="S33" s="29"/>
      <c r="T33" s="29"/>
      <c r="U33" s="48"/>
    </row>
    <row r="34" spans="1:21" ht="28" customHeight="1" x14ac:dyDescent="0.3">
      <c r="A34" s="28">
        <v>24</v>
      </c>
      <c r="B34" s="44" t="s">
        <v>289</v>
      </c>
      <c r="C34" s="44" t="s">
        <v>37</v>
      </c>
      <c r="D34" s="47"/>
      <c r="E34" s="46" t="s">
        <v>42</v>
      </c>
      <c r="F34" s="46" t="s">
        <v>168</v>
      </c>
      <c r="G34" s="46">
        <v>2</v>
      </c>
      <c r="H34" s="46">
        <v>0</v>
      </c>
      <c r="I34" s="46">
        <v>0</v>
      </c>
      <c r="J34" s="46">
        <v>0</v>
      </c>
      <c r="K34" s="46">
        <v>0</v>
      </c>
      <c r="L34" s="52">
        <v>0</v>
      </c>
      <c r="M34" s="75">
        <v>0</v>
      </c>
      <c r="N34" s="49">
        <v>2</v>
      </c>
      <c r="O34" s="77">
        <v>0</v>
      </c>
      <c r="P34" s="63">
        <v>0</v>
      </c>
      <c r="Q34" s="29"/>
      <c r="R34" s="29"/>
      <c r="S34" s="29"/>
      <c r="T34" s="29"/>
      <c r="U34" s="48"/>
    </row>
    <row r="35" spans="1:21" ht="28" customHeight="1" x14ac:dyDescent="0.3">
      <c r="A35" s="28">
        <v>25</v>
      </c>
      <c r="B35" s="44" t="s">
        <v>290</v>
      </c>
      <c r="C35" s="44" t="s">
        <v>37</v>
      </c>
      <c r="D35" s="43" t="s">
        <v>291</v>
      </c>
      <c r="E35" s="46" t="s">
        <v>103</v>
      </c>
      <c r="F35" s="46" t="s">
        <v>168</v>
      </c>
      <c r="G35" s="44">
        <v>2</v>
      </c>
      <c r="H35" s="46">
        <v>0</v>
      </c>
      <c r="I35" s="46">
        <v>0</v>
      </c>
      <c r="J35" s="46">
        <v>0</v>
      </c>
      <c r="K35" s="46">
        <v>5</v>
      </c>
      <c r="L35" s="52">
        <v>5</v>
      </c>
      <c r="M35" s="75">
        <v>46167</v>
      </c>
      <c r="N35" s="49">
        <v>2</v>
      </c>
      <c r="O35" s="77">
        <v>5</v>
      </c>
      <c r="P35" s="63">
        <v>10</v>
      </c>
      <c r="Q35" s="29"/>
      <c r="R35" s="29"/>
      <c r="S35" s="29"/>
      <c r="T35" s="29"/>
      <c r="U35" s="48"/>
    </row>
    <row r="36" spans="1:21" ht="28" customHeight="1" x14ac:dyDescent="0.3">
      <c r="A36" s="28">
        <v>26</v>
      </c>
      <c r="B36" s="44" t="s">
        <v>122</v>
      </c>
      <c r="C36" s="44" t="s">
        <v>37</v>
      </c>
      <c r="D36" s="47" t="s">
        <v>102</v>
      </c>
      <c r="E36" s="46" t="s">
        <v>103</v>
      </c>
      <c r="F36" s="46" t="s">
        <v>168</v>
      </c>
      <c r="G36" s="44">
        <v>30</v>
      </c>
      <c r="H36" s="46">
        <v>0</v>
      </c>
      <c r="I36" s="46">
        <v>4</v>
      </c>
      <c r="J36" s="46">
        <v>36</v>
      </c>
      <c r="K36" s="46">
        <v>7</v>
      </c>
      <c r="L36" s="52">
        <v>118</v>
      </c>
      <c r="M36" s="75">
        <v>46215</v>
      </c>
      <c r="N36" s="49">
        <v>30</v>
      </c>
      <c r="O36" s="77">
        <v>118</v>
      </c>
      <c r="P36" s="63">
        <v>3540</v>
      </c>
      <c r="Q36" s="29"/>
      <c r="R36" s="29"/>
      <c r="S36" s="29"/>
      <c r="T36" s="29"/>
      <c r="U36" s="48"/>
    </row>
    <row r="37" spans="1:21" ht="28" customHeight="1" x14ac:dyDescent="0.3">
      <c r="A37" s="28">
        <v>27</v>
      </c>
      <c r="B37" s="44" t="s">
        <v>101</v>
      </c>
      <c r="C37" s="44" t="s">
        <v>87</v>
      </c>
      <c r="D37" s="47"/>
      <c r="E37" s="46" t="s">
        <v>103</v>
      </c>
      <c r="F37" s="49" t="s">
        <v>168</v>
      </c>
      <c r="G37" s="44">
        <v>3</v>
      </c>
      <c r="H37" s="46">
        <v>0</v>
      </c>
      <c r="I37" s="46">
        <v>0</v>
      </c>
      <c r="J37" s="46">
        <v>1</v>
      </c>
      <c r="K37" s="46">
        <v>1</v>
      </c>
      <c r="L37" s="52">
        <v>2400</v>
      </c>
      <c r="M37" s="75">
        <v>46202</v>
      </c>
      <c r="N37" s="49">
        <v>3</v>
      </c>
      <c r="O37" s="77">
        <v>2400</v>
      </c>
      <c r="P37" s="63">
        <v>7200</v>
      </c>
      <c r="Q37" s="29"/>
      <c r="R37" s="29"/>
      <c r="S37" s="29"/>
      <c r="T37" s="29"/>
      <c r="U37" s="48"/>
    </row>
    <row r="38" spans="1:21" ht="28" customHeight="1" x14ac:dyDescent="0.3">
      <c r="A38" s="28">
        <v>28</v>
      </c>
      <c r="B38" s="44" t="s">
        <v>91</v>
      </c>
      <c r="C38" s="44" t="s">
        <v>37</v>
      </c>
      <c r="D38" s="47" t="s">
        <v>102</v>
      </c>
      <c r="E38" s="46" t="s">
        <v>103</v>
      </c>
      <c r="F38" s="49" t="s">
        <v>168</v>
      </c>
      <c r="G38" s="44">
        <v>50</v>
      </c>
      <c r="H38" s="46">
        <v>40</v>
      </c>
      <c r="I38" s="46">
        <v>2</v>
      </c>
      <c r="J38" s="46">
        <v>20</v>
      </c>
      <c r="K38" s="46">
        <v>30</v>
      </c>
      <c r="L38" s="52">
        <v>16</v>
      </c>
      <c r="M38" s="75">
        <v>46215</v>
      </c>
      <c r="N38" s="49">
        <v>10</v>
      </c>
      <c r="O38" s="77">
        <v>16</v>
      </c>
      <c r="P38" s="63">
        <v>160</v>
      </c>
      <c r="Q38" s="29"/>
      <c r="R38" s="29"/>
      <c r="S38" s="29"/>
      <c r="T38" s="29"/>
      <c r="U38" s="48"/>
    </row>
    <row r="39" spans="1:21" ht="28" customHeight="1" x14ac:dyDescent="0.3">
      <c r="A39" s="28">
        <v>29</v>
      </c>
      <c r="B39" s="44" t="s">
        <v>176</v>
      </c>
      <c r="C39" s="44" t="s">
        <v>37</v>
      </c>
      <c r="D39" s="47" t="s">
        <v>177</v>
      </c>
      <c r="E39" s="46" t="s">
        <v>103</v>
      </c>
      <c r="F39" s="49" t="s">
        <v>168</v>
      </c>
      <c r="G39" s="44">
        <v>10</v>
      </c>
      <c r="H39" s="46">
        <v>1</v>
      </c>
      <c r="I39" s="46">
        <v>0</v>
      </c>
      <c r="J39" s="46">
        <v>0</v>
      </c>
      <c r="K39" s="46">
        <v>1</v>
      </c>
      <c r="L39" s="52">
        <v>100</v>
      </c>
      <c r="M39" s="75">
        <v>46163</v>
      </c>
      <c r="N39" s="49">
        <v>9</v>
      </c>
      <c r="O39" s="77">
        <v>100</v>
      </c>
      <c r="P39" s="63">
        <v>900</v>
      </c>
      <c r="Q39" s="29"/>
      <c r="R39" s="29"/>
      <c r="S39" s="29"/>
      <c r="T39" s="29"/>
      <c r="U39" s="48"/>
    </row>
    <row r="40" spans="1:21" ht="28" customHeight="1" x14ac:dyDescent="0.3">
      <c r="A40" s="28">
        <v>30</v>
      </c>
      <c r="B40" s="44" t="s">
        <v>75</v>
      </c>
      <c r="C40" s="44" t="s">
        <v>37</v>
      </c>
      <c r="D40" s="47" t="s">
        <v>76</v>
      </c>
      <c r="E40" s="46" t="s">
        <v>42</v>
      </c>
      <c r="F40" s="49" t="s">
        <v>168</v>
      </c>
      <c r="G40" s="44">
        <v>10</v>
      </c>
      <c r="H40" s="46">
        <v>0</v>
      </c>
      <c r="I40" s="46">
        <v>0</v>
      </c>
      <c r="J40" s="46">
        <v>0</v>
      </c>
      <c r="K40" s="46">
        <v>0</v>
      </c>
      <c r="L40" s="52">
        <v>0</v>
      </c>
      <c r="M40" s="75">
        <v>0</v>
      </c>
      <c r="N40" s="49">
        <v>10</v>
      </c>
      <c r="O40" s="77">
        <v>0</v>
      </c>
      <c r="P40" s="63">
        <v>0</v>
      </c>
      <c r="Q40" s="29"/>
      <c r="R40" s="29"/>
      <c r="S40" s="29"/>
      <c r="T40" s="29"/>
      <c r="U40" s="48"/>
    </row>
    <row r="41" spans="1:21" ht="28" customHeight="1" x14ac:dyDescent="0.3">
      <c r="A41" s="28">
        <v>31</v>
      </c>
      <c r="B41" s="46" t="s">
        <v>86</v>
      </c>
      <c r="C41" s="44" t="s">
        <v>37</v>
      </c>
      <c r="D41" s="47" t="s">
        <v>77</v>
      </c>
      <c r="E41" s="46" t="s">
        <v>103</v>
      </c>
      <c r="F41" s="49" t="s">
        <v>168</v>
      </c>
      <c r="G41" s="46">
        <v>40</v>
      </c>
      <c r="H41" s="46">
        <v>0</v>
      </c>
      <c r="I41" s="46">
        <v>3</v>
      </c>
      <c r="J41" s="46">
        <v>25</v>
      </c>
      <c r="K41" s="46">
        <v>7</v>
      </c>
      <c r="L41" s="52">
        <v>150</v>
      </c>
      <c r="M41" s="75">
        <v>46201</v>
      </c>
      <c r="N41" s="49">
        <v>40</v>
      </c>
      <c r="O41" s="77">
        <v>150</v>
      </c>
      <c r="P41" s="63">
        <v>6000</v>
      </c>
      <c r="Q41" s="29"/>
      <c r="R41" s="29"/>
      <c r="S41" s="29"/>
      <c r="T41" s="29"/>
      <c r="U41" s="48"/>
    </row>
    <row r="42" spans="1:21" ht="28" customHeight="1" x14ac:dyDescent="0.3">
      <c r="A42" s="28">
        <v>32</v>
      </c>
      <c r="B42" s="44" t="s">
        <v>292</v>
      </c>
      <c r="C42" s="44" t="s">
        <v>37</v>
      </c>
      <c r="D42" s="47" t="s">
        <v>293</v>
      </c>
      <c r="E42" s="46" t="s">
        <v>103</v>
      </c>
      <c r="F42" s="49" t="s">
        <v>168</v>
      </c>
      <c r="G42" s="44">
        <v>20</v>
      </c>
      <c r="H42" s="46">
        <v>13</v>
      </c>
      <c r="I42" s="46">
        <v>0</v>
      </c>
      <c r="J42" s="46">
        <v>4</v>
      </c>
      <c r="K42" s="46">
        <v>6</v>
      </c>
      <c r="L42" s="52">
        <v>280</v>
      </c>
      <c r="M42" s="75">
        <v>46201</v>
      </c>
      <c r="N42" s="49">
        <v>7</v>
      </c>
      <c r="O42" s="77">
        <v>280</v>
      </c>
      <c r="P42" s="63">
        <v>1960</v>
      </c>
      <c r="Q42" s="29"/>
      <c r="R42" s="29"/>
      <c r="S42" s="29"/>
      <c r="T42" s="29"/>
      <c r="U42" s="48"/>
    </row>
    <row r="43" spans="1:21" ht="28" customHeight="1" x14ac:dyDescent="0.3">
      <c r="A43" s="28">
        <v>33</v>
      </c>
      <c r="B43" s="44" t="s">
        <v>294</v>
      </c>
      <c r="C43" s="44" t="s">
        <v>37</v>
      </c>
      <c r="D43" s="46" t="s">
        <v>295</v>
      </c>
      <c r="E43" s="46" t="s">
        <v>103</v>
      </c>
      <c r="F43" s="49" t="s">
        <v>168</v>
      </c>
      <c r="G43" s="44">
        <v>300</v>
      </c>
      <c r="H43" s="46">
        <v>140</v>
      </c>
      <c r="I43" s="46">
        <v>35</v>
      </c>
      <c r="J43" s="46">
        <v>300</v>
      </c>
      <c r="K43" s="46">
        <v>483</v>
      </c>
      <c r="L43" s="52">
        <v>3</v>
      </c>
      <c r="M43" s="75">
        <v>46202</v>
      </c>
      <c r="N43" s="49">
        <v>160</v>
      </c>
      <c r="O43" s="77">
        <v>3</v>
      </c>
      <c r="P43" s="63">
        <v>480</v>
      </c>
      <c r="Q43" s="29"/>
      <c r="R43" s="29"/>
      <c r="S43" s="29"/>
      <c r="T43" s="29"/>
      <c r="U43" s="48"/>
    </row>
    <row r="44" spans="1:21" ht="28" customHeight="1" x14ac:dyDescent="0.3">
      <c r="A44" s="28">
        <v>34</v>
      </c>
      <c r="B44" s="44" t="s">
        <v>315</v>
      </c>
      <c r="C44" s="44" t="s">
        <v>37</v>
      </c>
      <c r="D44" s="47" t="s">
        <v>144</v>
      </c>
      <c r="E44" s="46" t="s">
        <v>42</v>
      </c>
      <c r="F44" s="46" t="s">
        <v>168</v>
      </c>
      <c r="G44" s="46">
        <v>20</v>
      </c>
      <c r="H44" s="46">
        <v>0</v>
      </c>
      <c r="I44" s="46">
        <v>0</v>
      </c>
      <c r="J44" s="46">
        <v>0</v>
      </c>
      <c r="K44" s="46">
        <v>0</v>
      </c>
      <c r="L44" s="52">
        <v>0</v>
      </c>
      <c r="M44" s="75">
        <v>0</v>
      </c>
      <c r="N44" s="49">
        <v>20</v>
      </c>
      <c r="O44" s="77">
        <v>0</v>
      </c>
      <c r="P44" s="63">
        <v>0</v>
      </c>
      <c r="Q44" s="29"/>
      <c r="R44" s="29"/>
      <c r="S44" s="29"/>
      <c r="T44" s="29"/>
      <c r="U44" s="48"/>
    </row>
    <row r="45" spans="1:21" ht="28" customHeight="1" x14ac:dyDescent="0.3">
      <c r="A45" s="28">
        <v>35</v>
      </c>
      <c r="B45" s="44" t="s">
        <v>316</v>
      </c>
      <c r="C45" s="44" t="s">
        <v>37</v>
      </c>
      <c r="D45" s="47" t="s">
        <v>145</v>
      </c>
      <c r="E45" s="46" t="s">
        <v>42</v>
      </c>
      <c r="F45" s="46" t="s">
        <v>168</v>
      </c>
      <c r="G45" s="46">
        <v>20</v>
      </c>
      <c r="H45" s="46">
        <v>0</v>
      </c>
      <c r="I45" s="46">
        <v>0</v>
      </c>
      <c r="J45" s="46">
        <v>0</v>
      </c>
      <c r="K45" s="46">
        <v>0</v>
      </c>
      <c r="L45" s="52">
        <v>0</v>
      </c>
      <c r="M45" s="75">
        <v>0</v>
      </c>
      <c r="N45" s="49">
        <v>20</v>
      </c>
      <c r="O45" s="77">
        <v>0</v>
      </c>
      <c r="P45" s="63">
        <v>0</v>
      </c>
      <c r="Q45" s="29"/>
      <c r="R45" s="29"/>
      <c r="S45" s="29"/>
      <c r="T45" s="29"/>
      <c r="U45" s="48"/>
    </row>
    <row r="46" spans="1:21" ht="28" customHeight="1" x14ac:dyDescent="0.3">
      <c r="A46" s="28">
        <v>36</v>
      </c>
      <c r="B46" s="44" t="s">
        <v>178</v>
      </c>
      <c r="C46" s="44" t="s">
        <v>37</v>
      </c>
      <c r="D46" s="47"/>
      <c r="E46" s="46" t="s">
        <v>42</v>
      </c>
      <c r="F46" s="49" t="s">
        <v>168</v>
      </c>
      <c r="G46" s="44">
        <v>1</v>
      </c>
      <c r="H46" s="46">
        <v>0</v>
      </c>
      <c r="I46" s="46">
        <v>0</v>
      </c>
      <c r="J46" s="46">
        <v>0</v>
      </c>
      <c r="K46" s="46">
        <v>0</v>
      </c>
      <c r="L46" s="52">
        <v>0</v>
      </c>
      <c r="M46" s="75">
        <v>0</v>
      </c>
      <c r="N46" s="49">
        <v>1</v>
      </c>
      <c r="O46" s="77">
        <v>0</v>
      </c>
      <c r="P46" s="63">
        <v>0</v>
      </c>
      <c r="Q46" s="29"/>
      <c r="R46" s="29"/>
      <c r="S46" s="29"/>
      <c r="T46" s="29"/>
      <c r="U46" s="48"/>
    </row>
    <row r="47" spans="1:21" ht="28" customHeight="1" x14ac:dyDescent="0.3">
      <c r="A47" s="28">
        <v>37</v>
      </c>
      <c r="B47" s="46" t="s">
        <v>296</v>
      </c>
      <c r="C47" s="44" t="s">
        <v>37</v>
      </c>
      <c r="D47" s="47" t="s">
        <v>179</v>
      </c>
      <c r="E47" s="46" t="s">
        <v>103</v>
      </c>
      <c r="F47" s="49" t="s">
        <v>168</v>
      </c>
      <c r="G47" s="46">
        <v>4</v>
      </c>
      <c r="H47" s="46">
        <v>0</v>
      </c>
      <c r="I47" s="46">
        <v>0</v>
      </c>
      <c r="J47" s="46">
        <v>0</v>
      </c>
      <c r="K47" s="46">
        <v>0</v>
      </c>
      <c r="L47" s="52">
        <v>0</v>
      </c>
      <c r="M47" s="75">
        <v>0</v>
      </c>
      <c r="N47" s="49">
        <v>4</v>
      </c>
      <c r="O47" s="77">
        <v>0</v>
      </c>
      <c r="P47" s="63">
        <v>0</v>
      </c>
      <c r="Q47" s="29"/>
      <c r="R47" s="29"/>
      <c r="S47" s="29"/>
      <c r="T47" s="29"/>
      <c r="U47" s="48"/>
    </row>
    <row r="48" spans="1:21" ht="28" customHeight="1" x14ac:dyDescent="0.3">
      <c r="A48" s="28">
        <v>38</v>
      </c>
      <c r="B48" s="44" t="s">
        <v>180</v>
      </c>
      <c r="C48" s="44" t="s">
        <v>37</v>
      </c>
      <c r="D48" s="47" t="s">
        <v>181</v>
      </c>
      <c r="E48" s="46" t="s">
        <v>103</v>
      </c>
      <c r="F48" s="49" t="s">
        <v>168</v>
      </c>
      <c r="G48" s="44">
        <v>4</v>
      </c>
      <c r="H48" s="46">
        <v>0</v>
      </c>
      <c r="I48" s="46">
        <v>0</v>
      </c>
      <c r="J48" s="46">
        <v>0</v>
      </c>
      <c r="K48" s="46">
        <v>12</v>
      </c>
      <c r="L48" s="52">
        <v>500</v>
      </c>
      <c r="M48" s="75">
        <v>46080</v>
      </c>
      <c r="N48" s="49">
        <v>4</v>
      </c>
      <c r="O48" s="77">
        <v>500</v>
      </c>
      <c r="P48" s="63">
        <v>2000</v>
      </c>
      <c r="Q48" s="29"/>
      <c r="R48" s="29"/>
      <c r="S48" s="29"/>
      <c r="T48" s="29"/>
      <c r="U48" s="48"/>
    </row>
    <row r="49" spans="1:21" ht="28" customHeight="1" x14ac:dyDescent="0.3">
      <c r="A49" s="28">
        <v>39</v>
      </c>
      <c r="B49" s="44" t="s">
        <v>183</v>
      </c>
      <c r="C49" s="44" t="s">
        <v>41</v>
      </c>
      <c r="D49" s="46"/>
      <c r="E49" s="46" t="s">
        <v>103</v>
      </c>
      <c r="F49" s="49" t="s">
        <v>168</v>
      </c>
      <c r="G49" s="44">
        <v>2</v>
      </c>
      <c r="H49" s="46">
        <v>0</v>
      </c>
      <c r="I49" s="46">
        <v>0</v>
      </c>
      <c r="J49" s="46">
        <v>0</v>
      </c>
      <c r="K49" s="46">
        <v>10</v>
      </c>
      <c r="L49" s="52">
        <v>65</v>
      </c>
      <c r="M49" s="75">
        <v>46014</v>
      </c>
      <c r="N49" s="49">
        <v>2</v>
      </c>
      <c r="O49" s="77">
        <v>65</v>
      </c>
      <c r="P49" s="63">
        <v>130</v>
      </c>
      <c r="Q49" s="29"/>
      <c r="R49" s="29"/>
      <c r="S49" s="29"/>
      <c r="T49" s="29"/>
      <c r="U49" s="48"/>
    </row>
    <row r="50" spans="1:21" ht="28" customHeight="1" x14ac:dyDescent="0.3">
      <c r="A50" s="28">
        <v>40</v>
      </c>
      <c r="B50" s="44" t="s">
        <v>184</v>
      </c>
      <c r="C50" s="44" t="s">
        <v>37</v>
      </c>
      <c r="D50" s="47"/>
      <c r="E50" s="46" t="s">
        <v>103</v>
      </c>
      <c r="F50" s="46" t="s">
        <v>168</v>
      </c>
      <c r="G50" s="46">
        <v>50</v>
      </c>
      <c r="H50" s="46">
        <v>0</v>
      </c>
      <c r="I50" s="46">
        <v>3</v>
      </c>
      <c r="J50" s="46">
        <v>30</v>
      </c>
      <c r="K50" s="46">
        <v>100</v>
      </c>
      <c r="L50" s="52">
        <v>46</v>
      </c>
      <c r="M50" s="75">
        <v>46137</v>
      </c>
      <c r="N50" s="49">
        <v>50</v>
      </c>
      <c r="O50" s="77">
        <v>46</v>
      </c>
      <c r="P50" s="63">
        <v>2300</v>
      </c>
      <c r="Q50" s="29"/>
      <c r="R50" s="29"/>
      <c r="S50" s="29"/>
      <c r="T50" s="29"/>
      <c r="U50" s="48"/>
    </row>
    <row r="51" spans="1:21" ht="28" customHeight="1" x14ac:dyDescent="0.3">
      <c r="A51" s="28">
        <v>41</v>
      </c>
      <c r="B51" s="44" t="s">
        <v>185</v>
      </c>
      <c r="C51" s="44" t="s">
        <v>137</v>
      </c>
      <c r="D51" s="47" t="s">
        <v>146</v>
      </c>
      <c r="E51" s="46" t="s">
        <v>103</v>
      </c>
      <c r="F51" s="46" t="s">
        <v>168</v>
      </c>
      <c r="G51" s="46">
        <v>100</v>
      </c>
      <c r="H51" s="46">
        <v>0</v>
      </c>
      <c r="I51" s="46">
        <v>0</v>
      </c>
      <c r="J51" s="46">
        <v>0</v>
      </c>
      <c r="K51" s="46">
        <v>100</v>
      </c>
      <c r="L51" s="52">
        <v>28</v>
      </c>
      <c r="M51" s="75">
        <v>46137</v>
      </c>
      <c r="N51" s="49">
        <v>100</v>
      </c>
      <c r="O51" s="77">
        <v>28</v>
      </c>
      <c r="P51" s="63">
        <v>2800</v>
      </c>
      <c r="Q51" s="29"/>
      <c r="R51" s="29"/>
      <c r="S51" s="29"/>
      <c r="T51" s="29"/>
      <c r="U51" s="48"/>
    </row>
    <row r="52" spans="1:21" ht="28" customHeight="1" x14ac:dyDescent="0.3">
      <c r="A52" s="28">
        <v>42</v>
      </c>
      <c r="B52" s="44" t="s">
        <v>186</v>
      </c>
      <c r="C52" s="44" t="s">
        <v>37</v>
      </c>
      <c r="D52" s="43" t="s">
        <v>187</v>
      </c>
      <c r="E52" s="46" t="s">
        <v>103</v>
      </c>
      <c r="F52" s="46" t="s">
        <v>168</v>
      </c>
      <c r="G52" s="44">
        <v>2</v>
      </c>
      <c r="H52" s="46">
        <v>0</v>
      </c>
      <c r="I52" s="46">
        <v>0</v>
      </c>
      <c r="J52" s="46">
        <v>4</v>
      </c>
      <c r="K52" s="46">
        <v>5</v>
      </c>
      <c r="L52" s="52">
        <v>1600</v>
      </c>
      <c r="M52" s="75">
        <v>46202</v>
      </c>
      <c r="N52" s="49">
        <v>2</v>
      </c>
      <c r="O52" s="77">
        <v>1600</v>
      </c>
      <c r="P52" s="63">
        <v>3200</v>
      </c>
      <c r="Q52" s="29"/>
      <c r="R52" s="29"/>
      <c r="S52" s="29"/>
      <c r="T52" s="29"/>
      <c r="U52" s="48"/>
    </row>
    <row r="53" spans="1:21" ht="28" customHeight="1" x14ac:dyDescent="0.3">
      <c r="A53" s="28">
        <v>43</v>
      </c>
      <c r="B53" s="44" t="s">
        <v>297</v>
      </c>
      <c r="C53" s="44" t="s">
        <v>37</v>
      </c>
      <c r="D53" s="47"/>
      <c r="E53" s="46" t="s">
        <v>103</v>
      </c>
      <c r="F53" s="46" t="s">
        <v>168</v>
      </c>
      <c r="G53" s="44">
        <v>10</v>
      </c>
      <c r="H53" s="46">
        <v>3</v>
      </c>
      <c r="I53" s="46">
        <v>0</v>
      </c>
      <c r="J53" s="46">
        <v>4</v>
      </c>
      <c r="K53" s="46">
        <v>10</v>
      </c>
      <c r="L53" s="52">
        <v>100</v>
      </c>
      <c r="M53" s="75">
        <v>46014</v>
      </c>
      <c r="N53" s="49">
        <v>7</v>
      </c>
      <c r="O53" s="77">
        <v>100</v>
      </c>
      <c r="P53" s="63">
        <v>700</v>
      </c>
      <c r="Q53" s="29"/>
      <c r="R53" s="29"/>
      <c r="S53" s="29"/>
      <c r="T53" s="29"/>
      <c r="U53" s="48"/>
    </row>
    <row r="54" spans="1:21" ht="28" customHeight="1" x14ac:dyDescent="0.3">
      <c r="A54" s="28">
        <v>44</v>
      </c>
      <c r="B54" s="44" t="s">
        <v>298</v>
      </c>
      <c r="C54" s="44" t="s">
        <v>37</v>
      </c>
      <c r="D54" s="47"/>
      <c r="E54" s="46" t="s">
        <v>103</v>
      </c>
      <c r="F54" s="49" t="s">
        <v>168</v>
      </c>
      <c r="G54" s="44">
        <v>10</v>
      </c>
      <c r="H54" s="46">
        <v>4</v>
      </c>
      <c r="I54" s="46">
        <v>0</v>
      </c>
      <c r="J54" s="46">
        <v>2</v>
      </c>
      <c r="K54" s="46">
        <v>6</v>
      </c>
      <c r="L54" s="52">
        <v>13</v>
      </c>
      <c r="M54" s="75">
        <v>46202</v>
      </c>
      <c r="N54" s="49">
        <v>6</v>
      </c>
      <c r="O54" s="77">
        <v>13</v>
      </c>
      <c r="P54" s="63">
        <v>78</v>
      </c>
      <c r="Q54" s="29"/>
      <c r="R54" s="29"/>
      <c r="S54" s="29"/>
      <c r="T54" s="29"/>
      <c r="U54" s="48"/>
    </row>
    <row r="55" spans="1:21" ht="28" customHeight="1" x14ac:dyDescent="0.3">
      <c r="A55" s="28">
        <v>45</v>
      </c>
      <c r="B55" s="44" t="s">
        <v>299</v>
      </c>
      <c r="C55" s="44" t="s">
        <v>37</v>
      </c>
      <c r="D55" s="47"/>
      <c r="E55" s="46" t="s">
        <v>103</v>
      </c>
      <c r="F55" s="49" t="s">
        <v>168</v>
      </c>
      <c r="G55" s="44">
        <v>5</v>
      </c>
      <c r="H55" s="46">
        <v>3</v>
      </c>
      <c r="I55" s="46">
        <v>0</v>
      </c>
      <c r="J55" s="46">
        <v>0</v>
      </c>
      <c r="K55" s="46">
        <v>5</v>
      </c>
      <c r="L55" s="52">
        <v>330</v>
      </c>
      <c r="M55" s="75">
        <v>45973</v>
      </c>
      <c r="N55" s="49">
        <v>2</v>
      </c>
      <c r="O55" s="77">
        <v>330</v>
      </c>
      <c r="P55" s="63">
        <v>660</v>
      </c>
      <c r="Q55" s="29"/>
      <c r="R55" s="29"/>
      <c r="S55" s="29"/>
      <c r="T55" s="29"/>
      <c r="U55" s="48"/>
    </row>
    <row r="56" spans="1:21" ht="28" customHeight="1" x14ac:dyDescent="0.3">
      <c r="A56" s="28">
        <v>46</v>
      </c>
      <c r="B56" s="44" t="s">
        <v>300</v>
      </c>
      <c r="C56" s="44" t="s">
        <v>37</v>
      </c>
      <c r="D56" s="47"/>
      <c r="E56" s="46" t="s">
        <v>42</v>
      </c>
      <c r="F56" s="49" t="s">
        <v>168</v>
      </c>
      <c r="G56" s="44">
        <v>1</v>
      </c>
      <c r="H56" s="46">
        <v>0</v>
      </c>
      <c r="I56" s="46">
        <v>0</v>
      </c>
      <c r="J56" s="46">
        <v>0</v>
      </c>
      <c r="K56" s="46">
        <v>0</v>
      </c>
      <c r="L56" s="52">
        <v>0</v>
      </c>
      <c r="M56" s="75">
        <v>0</v>
      </c>
      <c r="N56" s="49">
        <v>1</v>
      </c>
      <c r="O56" s="77">
        <v>0</v>
      </c>
      <c r="P56" s="63">
        <v>0</v>
      </c>
      <c r="Q56" s="29"/>
      <c r="R56" s="29"/>
      <c r="S56" s="29"/>
      <c r="T56" s="29"/>
      <c r="U56" s="48"/>
    </row>
    <row r="57" spans="1:21" ht="28" customHeight="1" x14ac:dyDescent="0.3">
      <c r="A57" s="28">
        <v>47</v>
      </c>
      <c r="B57" s="44" t="s">
        <v>301</v>
      </c>
      <c r="C57" s="44" t="s">
        <v>37</v>
      </c>
      <c r="D57" s="47"/>
      <c r="E57" s="46" t="s">
        <v>103</v>
      </c>
      <c r="F57" s="49" t="s">
        <v>168</v>
      </c>
      <c r="G57" s="44">
        <v>10</v>
      </c>
      <c r="H57" s="46">
        <v>3</v>
      </c>
      <c r="I57" s="46">
        <v>0</v>
      </c>
      <c r="J57" s="46">
        <v>0</v>
      </c>
      <c r="K57" s="46">
        <v>10</v>
      </c>
      <c r="L57" s="52">
        <v>430</v>
      </c>
      <c r="M57" s="75">
        <v>45887</v>
      </c>
      <c r="N57" s="49">
        <v>7</v>
      </c>
      <c r="O57" s="77">
        <v>430</v>
      </c>
      <c r="P57" s="63">
        <v>3010</v>
      </c>
      <c r="Q57" s="29"/>
      <c r="R57" s="29"/>
      <c r="S57" s="29"/>
      <c r="T57" s="29"/>
      <c r="U57" s="48"/>
    </row>
    <row r="58" spans="1:21" ht="28" customHeight="1" x14ac:dyDescent="0.3">
      <c r="A58" s="28">
        <v>48</v>
      </c>
      <c r="B58" s="46" t="s">
        <v>302</v>
      </c>
      <c r="C58" s="44" t="s">
        <v>37</v>
      </c>
      <c r="D58" s="47"/>
      <c r="E58" s="46" t="s">
        <v>103</v>
      </c>
      <c r="F58" s="49" t="s">
        <v>168</v>
      </c>
      <c r="G58" s="46">
        <v>10</v>
      </c>
      <c r="H58" s="46">
        <v>0</v>
      </c>
      <c r="I58" s="46">
        <v>0</v>
      </c>
      <c r="J58" s="46">
        <v>3</v>
      </c>
      <c r="K58" s="46">
        <v>2</v>
      </c>
      <c r="L58" s="52">
        <v>1035</v>
      </c>
      <c r="M58" s="75">
        <v>45792</v>
      </c>
      <c r="N58" s="49">
        <v>10</v>
      </c>
      <c r="O58" s="77">
        <v>1035</v>
      </c>
      <c r="P58" s="63">
        <v>10350</v>
      </c>
      <c r="Q58" s="29"/>
      <c r="R58" s="29"/>
      <c r="S58" s="29"/>
      <c r="T58" s="29"/>
      <c r="U58" s="48"/>
    </row>
    <row r="59" spans="1:21" ht="28" customHeight="1" x14ac:dyDescent="0.3">
      <c r="A59" s="28">
        <v>49</v>
      </c>
      <c r="B59" s="44" t="s">
        <v>303</v>
      </c>
      <c r="C59" s="44" t="s">
        <v>37</v>
      </c>
      <c r="D59" s="47"/>
      <c r="E59" s="46" t="s">
        <v>103</v>
      </c>
      <c r="F59" s="49" t="s">
        <v>168</v>
      </c>
      <c r="G59" s="44">
        <v>10</v>
      </c>
      <c r="H59" s="46">
        <v>0</v>
      </c>
      <c r="I59" s="46">
        <v>1</v>
      </c>
      <c r="J59" s="46">
        <v>8</v>
      </c>
      <c r="K59" s="46">
        <v>6</v>
      </c>
      <c r="L59" s="52">
        <v>260</v>
      </c>
      <c r="M59" s="75">
        <v>46080</v>
      </c>
      <c r="N59" s="49">
        <v>10</v>
      </c>
      <c r="O59" s="77">
        <v>260</v>
      </c>
      <c r="P59" s="63">
        <v>2600</v>
      </c>
      <c r="Q59" s="29"/>
      <c r="R59" s="29"/>
      <c r="S59" s="29"/>
      <c r="T59" s="29"/>
      <c r="U59" s="48"/>
    </row>
    <row r="60" spans="1:21" ht="28" customHeight="1" x14ac:dyDescent="0.3">
      <c r="A60" s="28">
        <v>50</v>
      </c>
      <c r="B60" s="44" t="s">
        <v>317</v>
      </c>
      <c r="C60" s="44" t="s">
        <v>37</v>
      </c>
      <c r="D60" s="46" t="s">
        <v>304</v>
      </c>
      <c r="E60" s="46" t="s">
        <v>42</v>
      </c>
      <c r="F60" s="49" t="s">
        <v>168</v>
      </c>
      <c r="G60" s="44">
        <v>1</v>
      </c>
      <c r="H60" s="46">
        <v>0</v>
      </c>
      <c r="I60" s="46">
        <v>0</v>
      </c>
      <c r="J60" s="46">
        <v>0</v>
      </c>
      <c r="K60" s="46">
        <v>0</v>
      </c>
      <c r="L60" s="52">
        <v>0</v>
      </c>
      <c r="M60" s="75">
        <v>0</v>
      </c>
      <c r="N60" s="49">
        <v>1</v>
      </c>
      <c r="O60" s="77">
        <v>0</v>
      </c>
      <c r="P60" s="63">
        <v>0</v>
      </c>
      <c r="Q60" s="29"/>
      <c r="R60" s="29"/>
      <c r="S60" s="29"/>
      <c r="T60" s="29"/>
      <c r="U60" s="48"/>
    </row>
    <row r="61" spans="1:21" ht="28" customHeight="1" x14ac:dyDescent="0.3">
      <c r="A61" s="28">
        <v>51</v>
      </c>
      <c r="B61" s="44" t="s">
        <v>318</v>
      </c>
      <c r="C61" s="44" t="s">
        <v>37</v>
      </c>
      <c r="D61" s="47" t="s">
        <v>305</v>
      </c>
      <c r="E61" s="46" t="s">
        <v>42</v>
      </c>
      <c r="F61" s="46" t="s">
        <v>168</v>
      </c>
      <c r="G61" s="46">
        <v>1</v>
      </c>
      <c r="H61" s="46">
        <v>0</v>
      </c>
      <c r="I61" s="46">
        <v>0</v>
      </c>
      <c r="J61" s="46">
        <v>0</v>
      </c>
      <c r="K61" s="46">
        <v>0</v>
      </c>
      <c r="L61" s="52">
        <v>0</v>
      </c>
      <c r="M61" s="75">
        <v>0</v>
      </c>
      <c r="N61" s="49">
        <v>1</v>
      </c>
      <c r="O61" s="77">
        <v>0</v>
      </c>
      <c r="P61" s="63">
        <v>0</v>
      </c>
      <c r="Q61" s="29"/>
      <c r="R61" s="29"/>
      <c r="S61" s="29"/>
      <c r="T61" s="29"/>
      <c r="U61" s="48"/>
    </row>
    <row r="62" spans="1:21" ht="28" customHeight="1" x14ac:dyDescent="0.3">
      <c r="A62" s="28">
        <v>52</v>
      </c>
      <c r="B62" s="44" t="s">
        <v>306</v>
      </c>
      <c r="C62" s="44" t="s">
        <v>37</v>
      </c>
      <c r="D62" s="47"/>
      <c r="E62" s="46" t="s">
        <v>103</v>
      </c>
      <c r="F62" s="46" t="s">
        <v>168</v>
      </c>
      <c r="G62" s="46">
        <v>2</v>
      </c>
      <c r="H62" s="46">
        <v>0</v>
      </c>
      <c r="I62" s="46">
        <v>0</v>
      </c>
      <c r="J62" s="46">
        <v>0</v>
      </c>
      <c r="K62" s="46">
        <v>0</v>
      </c>
      <c r="L62" s="52">
        <v>0</v>
      </c>
      <c r="M62" s="75">
        <v>0</v>
      </c>
      <c r="N62" s="49">
        <v>2</v>
      </c>
      <c r="O62" s="77">
        <v>0</v>
      </c>
      <c r="P62" s="63">
        <v>0</v>
      </c>
      <c r="Q62" s="29"/>
      <c r="R62" s="29"/>
      <c r="S62" s="29"/>
      <c r="T62" s="29"/>
      <c r="U62" s="48"/>
    </row>
    <row r="63" spans="1:21" ht="28" customHeight="1" x14ac:dyDescent="0.3">
      <c r="A63" s="28">
        <v>53</v>
      </c>
      <c r="B63" s="44" t="s">
        <v>182</v>
      </c>
      <c r="C63" s="44" t="s">
        <v>37</v>
      </c>
      <c r="D63" s="47"/>
      <c r="E63" s="46" t="s">
        <v>103</v>
      </c>
      <c r="F63" s="49" t="s">
        <v>168</v>
      </c>
      <c r="G63" s="44">
        <v>2</v>
      </c>
      <c r="H63" s="46">
        <v>0</v>
      </c>
      <c r="I63" s="46">
        <v>3</v>
      </c>
      <c r="J63" s="46">
        <v>24</v>
      </c>
      <c r="K63" s="46">
        <v>5</v>
      </c>
      <c r="L63" s="52">
        <v>55</v>
      </c>
      <c r="M63" s="75">
        <v>46014</v>
      </c>
      <c r="N63" s="49">
        <v>2</v>
      </c>
      <c r="O63" s="77">
        <v>55</v>
      </c>
      <c r="P63" s="63">
        <v>110</v>
      </c>
      <c r="Q63" s="29"/>
      <c r="R63" s="29"/>
      <c r="S63" s="29"/>
      <c r="T63" s="29"/>
      <c r="U63" s="48"/>
    </row>
    <row r="64" spans="1:21" ht="28" customHeight="1" x14ac:dyDescent="0.3">
      <c r="A64" s="28">
        <v>54</v>
      </c>
      <c r="B64" s="46" t="s">
        <v>307</v>
      </c>
      <c r="C64" s="44" t="s">
        <v>37</v>
      </c>
      <c r="D64" s="47" t="s">
        <v>308</v>
      </c>
      <c r="E64" s="46" t="s">
        <v>103</v>
      </c>
      <c r="F64" s="49" t="s">
        <v>168</v>
      </c>
      <c r="G64" s="46">
        <v>4</v>
      </c>
      <c r="H64" s="46">
        <v>0</v>
      </c>
      <c r="I64" s="46">
        <v>0</v>
      </c>
      <c r="J64" s="46">
        <v>0</v>
      </c>
      <c r="K64" s="46">
        <v>14</v>
      </c>
      <c r="L64" s="52">
        <v>126</v>
      </c>
      <c r="M64" s="75">
        <v>46079</v>
      </c>
      <c r="N64" s="49">
        <v>4</v>
      </c>
      <c r="O64" s="77">
        <v>126</v>
      </c>
      <c r="P64" s="63">
        <v>504</v>
      </c>
      <c r="Q64" s="29"/>
      <c r="R64" s="29"/>
      <c r="S64" s="29"/>
      <c r="T64" s="29"/>
      <c r="U64" s="48"/>
    </row>
    <row r="65" spans="1:21" ht="28" customHeight="1" x14ac:dyDescent="0.3">
      <c r="A65" s="28">
        <v>55</v>
      </c>
      <c r="B65" s="44" t="s">
        <v>309</v>
      </c>
      <c r="C65" s="44" t="s">
        <v>37</v>
      </c>
      <c r="D65" s="47" t="s">
        <v>310</v>
      </c>
      <c r="E65" s="46" t="s">
        <v>103</v>
      </c>
      <c r="F65" s="46" t="s">
        <v>168</v>
      </c>
      <c r="G65" s="46">
        <v>5</v>
      </c>
      <c r="H65" s="46">
        <v>0</v>
      </c>
      <c r="I65" s="46">
        <v>0</v>
      </c>
      <c r="J65" s="46">
        <v>0</v>
      </c>
      <c r="K65" s="46">
        <v>5</v>
      </c>
      <c r="L65" s="52">
        <v>90</v>
      </c>
      <c r="M65" s="75">
        <v>46013</v>
      </c>
      <c r="N65" s="49">
        <v>5</v>
      </c>
      <c r="O65" s="77">
        <v>90</v>
      </c>
      <c r="P65" s="63">
        <v>450</v>
      </c>
      <c r="Q65" s="29"/>
      <c r="R65" s="29"/>
      <c r="S65" s="29"/>
      <c r="T65" s="29"/>
      <c r="U65" s="48"/>
    </row>
    <row r="66" spans="1:21" ht="28" customHeight="1" x14ac:dyDescent="0.3">
      <c r="A66" s="28">
        <v>56</v>
      </c>
      <c r="B66" s="44" t="s">
        <v>141</v>
      </c>
      <c r="C66" s="44" t="s">
        <v>37</v>
      </c>
      <c r="D66" s="47" t="s">
        <v>333</v>
      </c>
      <c r="E66" s="46" t="s">
        <v>103</v>
      </c>
      <c r="F66" s="49" t="s">
        <v>46</v>
      </c>
      <c r="G66" s="44">
        <v>4</v>
      </c>
      <c r="H66" s="46">
        <v>0</v>
      </c>
      <c r="I66" s="46">
        <v>0</v>
      </c>
      <c r="J66" s="46">
        <v>0</v>
      </c>
      <c r="K66" s="46">
        <v>2</v>
      </c>
      <c r="L66" s="52">
        <v>3500</v>
      </c>
      <c r="M66" s="75">
        <v>46092</v>
      </c>
      <c r="N66" s="49">
        <v>4</v>
      </c>
      <c r="O66" s="77">
        <v>3500</v>
      </c>
      <c r="P66" s="63">
        <v>14000</v>
      </c>
      <c r="Q66" s="29"/>
      <c r="R66" s="29"/>
      <c r="S66" s="29"/>
      <c r="T66" s="29"/>
      <c r="U66" s="48"/>
    </row>
    <row r="67" spans="1:21" ht="28" customHeight="1" thickBot="1" x14ac:dyDescent="0.35">
      <c r="A67" s="28">
        <v>57</v>
      </c>
      <c r="B67" s="46" t="s">
        <v>142</v>
      </c>
      <c r="C67" s="44" t="s">
        <v>37</v>
      </c>
      <c r="D67" s="47" t="s">
        <v>149</v>
      </c>
      <c r="E67" s="46" t="s">
        <v>103</v>
      </c>
      <c r="F67" s="49" t="s">
        <v>46</v>
      </c>
      <c r="G67" s="46">
        <v>200</v>
      </c>
      <c r="H67" s="46">
        <v>0</v>
      </c>
      <c r="I67" s="46">
        <v>12</v>
      </c>
      <c r="J67" s="46">
        <v>100</v>
      </c>
      <c r="K67" s="46">
        <v>40</v>
      </c>
      <c r="L67" s="52">
        <v>17</v>
      </c>
      <c r="M67" s="75">
        <v>46222</v>
      </c>
      <c r="N67" s="49">
        <v>200</v>
      </c>
      <c r="O67" s="77">
        <v>17</v>
      </c>
      <c r="P67" s="63">
        <v>3400</v>
      </c>
      <c r="Q67" s="29"/>
      <c r="R67" s="29"/>
      <c r="S67" s="29"/>
      <c r="T67" s="29"/>
      <c r="U67" s="48"/>
    </row>
    <row r="68" spans="1:21" s="35" customFormat="1" ht="23.25" customHeight="1" thickBot="1" x14ac:dyDescent="0.4">
      <c r="A68" s="184" t="s">
        <v>35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27">
        <f>SUM(P11:P67)</f>
        <v>107360</v>
      </c>
      <c r="Q68" s="33"/>
      <c r="R68" s="33"/>
      <c r="S68" s="33"/>
      <c r="T68" s="33"/>
      <c r="U68" s="34"/>
    </row>
    <row r="69" spans="1:21" s="2" customFormat="1" ht="22.5" customHeight="1" x14ac:dyDescent="0.35">
      <c r="A69" s="3"/>
      <c r="B69" s="40"/>
      <c r="C69" s="4"/>
      <c r="D69" s="4"/>
      <c r="E69" s="5"/>
      <c r="F69" s="4"/>
      <c r="G69" s="4"/>
      <c r="H69" s="5"/>
      <c r="I69" s="5"/>
      <c r="J69" s="5"/>
      <c r="K69" s="5"/>
      <c r="L69" s="5"/>
      <c r="M69" s="6"/>
      <c r="N69" s="7"/>
      <c r="O69" s="8"/>
      <c r="P69" s="9"/>
      <c r="Q69" s="9"/>
      <c r="R69" s="9"/>
      <c r="S69" s="9"/>
      <c r="T69" s="9"/>
      <c r="U69" s="10"/>
    </row>
    <row r="70" spans="1:21" s="2" customFormat="1" ht="22.5" customHeight="1" x14ac:dyDescent="0.35">
      <c r="A70" s="3"/>
      <c r="B70" s="40"/>
      <c r="C70" s="4"/>
      <c r="D70" s="4"/>
      <c r="E70" s="5"/>
      <c r="F70" s="4"/>
      <c r="G70" s="4"/>
      <c r="H70" s="5"/>
      <c r="I70" s="5"/>
      <c r="J70" s="5"/>
      <c r="K70" s="5"/>
      <c r="L70" s="5"/>
      <c r="M70" s="6"/>
      <c r="N70" s="7"/>
      <c r="O70" s="8"/>
      <c r="P70" s="9"/>
      <c r="Q70" s="9"/>
      <c r="R70" s="9"/>
      <c r="S70" s="9"/>
      <c r="T70" s="9"/>
      <c r="U70" s="10"/>
    </row>
    <row r="71" spans="1:21" s="2" customFormat="1" ht="22.5" customHeight="1" x14ac:dyDescent="0.35">
      <c r="A71" s="3"/>
      <c r="B71" s="40"/>
      <c r="C71" s="4"/>
      <c r="D71" s="4"/>
      <c r="E71" s="5"/>
      <c r="F71" s="4"/>
      <c r="G71" s="4"/>
      <c r="H71" s="5"/>
      <c r="I71" s="5"/>
      <c r="J71" s="5"/>
      <c r="K71" s="5"/>
      <c r="L71" s="5"/>
      <c r="M71" s="6"/>
      <c r="N71" s="7"/>
      <c r="O71" s="8"/>
      <c r="P71" s="9"/>
      <c r="Q71" s="9"/>
      <c r="R71" s="9"/>
      <c r="S71" s="9"/>
      <c r="T71" s="9"/>
      <c r="U71" s="10"/>
    </row>
    <row r="72" spans="1:21" s="2" customFormat="1" ht="22.5" customHeight="1" x14ac:dyDescent="0.35">
      <c r="A72" s="3"/>
      <c r="B72" s="40"/>
      <c r="C72" s="4"/>
      <c r="D72" s="4"/>
      <c r="E72" s="5"/>
      <c r="F72" s="4"/>
      <c r="G72" s="4"/>
      <c r="H72" s="5"/>
      <c r="I72" s="5"/>
      <c r="J72" s="5"/>
      <c r="K72" s="5"/>
      <c r="L72" s="5"/>
      <c r="M72" s="6"/>
      <c r="N72" s="7"/>
      <c r="O72" s="8"/>
      <c r="P72" s="9"/>
      <c r="Q72" s="9"/>
      <c r="R72" s="9"/>
      <c r="S72" s="9"/>
      <c r="T72" s="9"/>
      <c r="U72" s="10"/>
    </row>
    <row r="73" spans="1:21" s="2" customFormat="1" ht="19.5" customHeight="1" x14ac:dyDescent="0.35">
      <c r="A73" s="3"/>
      <c r="B73" s="40"/>
      <c r="C73" s="4"/>
      <c r="D73" s="4"/>
      <c r="E73" s="5"/>
      <c r="F73" s="4"/>
      <c r="G73" s="4"/>
      <c r="H73" s="5"/>
      <c r="I73" s="5"/>
      <c r="J73" s="5"/>
      <c r="K73" s="5"/>
      <c r="L73" s="5"/>
      <c r="M73" s="6"/>
      <c r="N73" s="7"/>
      <c r="O73" s="11"/>
      <c r="P73" s="9"/>
      <c r="Q73" s="9"/>
      <c r="R73" s="9"/>
      <c r="S73" s="9"/>
      <c r="T73" s="9"/>
      <c r="U73" s="10"/>
    </row>
    <row r="74" spans="1:21" s="2" customFormat="1" ht="20.149999999999999" customHeight="1" x14ac:dyDescent="0.25">
      <c r="A74" s="12"/>
      <c r="B74" s="22"/>
      <c r="C74" s="5"/>
      <c r="D74" s="30"/>
      <c r="E74" s="12"/>
      <c r="F74" s="12"/>
      <c r="G74" s="12"/>
      <c r="H74" s="12"/>
      <c r="I74" s="12"/>
      <c r="J74" s="12"/>
      <c r="K74" s="13"/>
      <c r="L74" s="13"/>
      <c r="M74" s="13"/>
      <c r="N74" s="14"/>
      <c r="O74" s="14"/>
      <c r="P74" s="9"/>
      <c r="Q74" s="9"/>
      <c r="R74" s="9"/>
      <c r="S74" s="9"/>
      <c r="T74" s="9"/>
      <c r="U74" s="13"/>
    </row>
    <row r="75" spans="1:21" s="15" customFormat="1" ht="17.5" customHeight="1" x14ac:dyDescent="0.35">
      <c r="B75" s="16" t="s">
        <v>26</v>
      </c>
      <c r="C75" s="36"/>
      <c r="D75" s="31"/>
      <c r="E75" s="22"/>
      <c r="F75"/>
      <c r="G75" s="161" t="s">
        <v>27</v>
      </c>
      <c r="H75" s="161"/>
      <c r="I75" s="161"/>
      <c r="J75"/>
      <c r="K75" s="21"/>
      <c r="L75" s="21"/>
      <c r="M75" s="23"/>
      <c r="N75" s="24"/>
      <c r="O75" s="161" t="s">
        <v>28</v>
      </c>
      <c r="P75" s="161"/>
      <c r="Q75" s="25"/>
      <c r="R75" s="24"/>
      <c r="S75" s="26"/>
      <c r="T75" s="161" t="s">
        <v>29</v>
      </c>
      <c r="U75" s="161"/>
    </row>
    <row r="76" spans="1:21" ht="20.149999999999999" customHeight="1" x14ac:dyDescent="0.3">
      <c r="A76" s="12"/>
      <c r="B76" s="22"/>
      <c r="C76" s="5"/>
      <c r="D76" s="30"/>
      <c r="E76" s="12"/>
      <c r="F76" s="12"/>
      <c r="G76" s="12"/>
      <c r="H76" s="12"/>
      <c r="I76" s="12"/>
      <c r="J76" s="12"/>
      <c r="K76" s="13"/>
      <c r="L76" s="13"/>
      <c r="M76" s="13"/>
      <c r="N76" s="17"/>
      <c r="O76" s="13"/>
      <c r="P76" s="13"/>
      <c r="Q76" s="5"/>
      <c r="R76" s="5"/>
      <c r="S76" s="5"/>
      <c r="T76" s="5"/>
      <c r="U76" s="13"/>
    </row>
    <row r="82" spans="1:21" x14ac:dyDescent="0.35">
      <c r="L82" s="18"/>
    </row>
    <row r="83" spans="1:21" s="20" customFormat="1" ht="15.5" x14ac:dyDescent="0.35">
      <c r="A83" s="1"/>
      <c r="B83" s="41"/>
      <c r="C83" s="23"/>
      <c r="D83" s="32"/>
      <c r="E83" s="1"/>
      <c r="F83" s="1"/>
      <c r="G83" s="1"/>
      <c r="H83" s="1"/>
      <c r="I83" s="1"/>
      <c r="J83" s="1"/>
      <c r="K83" s="1"/>
      <c r="L83" s="1"/>
      <c r="M83" s="1"/>
      <c r="N83" s="19"/>
      <c r="O83" s="1"/>
      <c r="P83" s="1"/>
      <c r="Q83" s="1"/>
      <c r="R83" s="1"/>
      <c r="S83" s="1"/>
      <c r="T83" s="1"/>
      <c r="U83" s="1"/>
    </row>
  </sheetData>
  <mergeCells count="36">
    <mergeCell ref="A4:D4"/>
    <mergeCell ref="E4:M4"/>
    <mergeCell ref="N4:U4"/>
    <mergeCell ref="A1:U1"/>
    <mergeCell ref="A2:U2"/>
    <mergeCell ref="A3:D3"/>
    <mergeCell ref="E3:M3"/>
    <mergeCell ref="N3:U3"/>
    <mergeCell ref="A5:D5"/>
    <mergeCell ref="E5:M5"/>
    <mergeCell ref="N5:U5"/>
    <mergeCell ref="A6:D6"/>
    <mergeCell ref="E6:M6"/>
    <mergeCell ref="N6:U6"/>
    <mergeCell ref="A7:D7"/>
    <mergeCell ref="E7:M7"/>
    <mergeCell ref="N7:U7"/>
    <mergeCell ref="A8:D8"/>
    <mergeCell ref="E8:M8"/>
    <mergeCell ref="N8:U8"/>
    <mergeCell ref="A68:O68"/>
    <mergeCell ref="G75:I75"/>
    <mergeCell ref="O75:P75"/>
    <mergeCell ref="T75:U75"/>
    <mergeCell ref="G9:J9"/>
    <mergeCell ref="K9:M9"/>
    <mergeCell ref="N9:P9"/>
    <mergeCell ref="Q9:R9"/>
    <mergeCell ref="S9:T9"/>
    <mergeCell ref="U9:U10"/>
    <mergeCell ref="A9:A10"/>
    <mergeCell ref="B9:B10"/>
    <mergeCell ref="C9:C10"/>
    <mergeCell ref="D9:D10"/>
    <mergeCell ref="E9:E10"/>
    <mergeCell ref="F9:F10"/>
  </mergeCells>
  <conditionalFormatting sqref="B68:B1048576 B1:B10">
    <cfRule type="duplicateValues" dxfId="5" priority="56"/>
  </conditionalFormatting>
  <dataValidations disablePrompts="1" count="1">
    <dataValidation type="list" allowBlank="1" showInputMessage="1" showErrorMessage="1" sqref="D32 D43 D49 D60 D15 D26" xr:uid="{6F632A0D-30D3-4370-BA81-D8F85EC4A2EE}">
      <formula1>$AC$1:$AC$83</formula1>
    </dataValidation>
  </dataValidations>
  <hyperlinks>
    <hyperlink ref="N8" r:id="rId1" display="suresh@humanaapparels.com" xr:uid="{76C20CE4-1B0A-496D-975D-F90C6F270D87}"/>
  </hyperlinks>
  <printOptions horizontalCentered="1"/>
  <pageMargins left="0.196850393700787" right="0.196850393700787" top="0.5" bottom="0.48622047200000001" header="0.31496062992126" footer="0.31496062992126"/>
  <pageSetup paperSize="9" scale="50" fitToHeight="0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2645-90EB-4ADC-AAEB-FBD51AE7740A}">
  <sheetPr>
    <pageSetUpPr fitToPage="1"/>
  </sheetPr>
  <dimension ref="A1:U38"/>
  <sheetViews>
    <sheetView zoomScale="70" zoomScaleNormal="70" zoomScaleSheetLayoutView="80" workbookViewId="0">
      <pane ySplit="10" topLeftCell="A11" activePane="bottomLeft" state="frozen"/>
      <selection activeCell="D19" sqref="D19"/>
      <selection pane="bottomLeft" activeCell="A11" sqref="A11"/>
    </sheetView>
  </sheetViews>
  <sheetFormatPr defaultColWidth="9.1796875" defaultRowHeight="14.5" x14ac:dyDescent="0.35"/>
  <cols>
    <col min="1" max="1" width="5.7265625" style="1" customWidth="1"/>
    <col min="2" max="2" width="40.453125" style="41" customWidth="1"/>
    <col min="3" max="3" width="8.26953125" style="23" customWidth="1"/>
    <col min="4" max="4" width="17.54296875" style="32" customWidth="1"/>
    <col min="5" max="5" width="11.7265625" style="1" customWidth="1"/>
    <col min="6" max="6" width="16.453125" style="1" customWidth="1"/>
    <col min="7" max="7" width="11.54296875" style="1" customWidth="1"/>
    <col min="8" max="8" width="8.7265625" style="1" customWidth="1"/>
    <col min="9" max="9" width="8" style="1" customWidth="1"/>
    <col min="10" max="10" width="14.453125" style="1" customWidth="1"/>
    <col min="11" max="11" width="8.7265625" style="1" customWidth="1"/>
    <col min="12" max="12" width="9.26953125" style="1" customWidth="1"/>
    <col min="13" max="13" width="13.7265625" style="1" customWidth="1"/>
    <col min="14" max="14" width="8.7265625" style="19" customWidth="1"/>
    <col min="15" max="15" width="11" style="1" customWidth="1"/>
    <col min="16" max="16" width="13.7265625" style="1" customWidth="1"/>
    <col min="17" max="17" width="11.26953125" style="1" customWidth="1"/>
    <col min="18" max="18" width="9" style="1" customWidth="1"/>
    <col min="19" max="19" width="10.54296875" style="1" customWidth="1"/>
    <col min="20" max="20" width="11.7265625" style="1" customWidth="1"/>
    <col min="21" max="21" width="25.26953125" style="1" customWidth="1"/>
    <col min="22" max="16384" width="9.1796875" style="1"/>
  </cols>
  <sheetData>
    <row r="1" spans="1:21" ht="30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2"/>
    </row>
    <row r="2" spans="1:21" ht="17.5" x14ac:dyDescent="0.3">
      <c r="A2" s="143" t="s">
        <v>34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</row>
    <row r="3" spans="1:21" ht="13.5" customHeight="1" x14ac:dyDescent="0.3">
      <c r="A3" s="134" t="s">
        <v>1</v>
      </c>
      <c r="B3" s="135"/>
      <c r="C3" s="135"/>
      <c r="D3" s="136"/>
      <c r="E3" s="146" t="str">
        <f>ALL!E3</f>
        <v>HAPL/Dept./ALL/2026/August/01</v>
      </c>
      <c r="F3" s="135"/>
      <c r="G3" s="135"/>
      <c r="H3" s="135"/>
      <c r="I3" s="135"/>
      <c r="J3" s="135"/>
      <c r="K3" s="135"/>
      <c r="L3" s="135"/>
      <c r="M3" s="135"/>
      <c r="N3" s="146" t="s">
        <v>125</v>
      </c>
      <c r="O3" s="135"/>
      <c r="P3" s="135"/>
      <c r="Q3" s="135"/>
      <c r="R3" s="135"/>
      <c r="S3" s="135"/>
      <c r="T3" s="135"/>
      <c r="U3" s="147"/>
    </row>
    <row r="4" spans="1:21" ht="13.5" customHeight="1" x14ac:dyDescent="0.3">
      <c r="A4" s="134" t="s">
        <v>2</v>
      </c>
      <c r="B4" s="135"/>
      <c r="C4" s="135"/>
      <c r="D4" s="136"/>
      <c r="E4" s="137">
        <f>ALL!E4</f>
        <v>46235</v>
      </c>
      <c r="F4" s="138"/>
      <c r="G4" s="138"/>
      <c r="H4" s="138"/>
      <c r="I4" s="138"/>
      <c r="J4" s="138"/>
      <c r="K4" s="138"/>
      <c r="L4" s="138"/>
      <c r="M4" s="139"/>
      <c r="N4" s="146" t="s">
        <v>127</v>
      </c>
      <c r="O4" s="135"/>
      <c r="P4" s="135"/>
      <c r="Q4" s="135"/>
      <c r="R4" s="135"/>
      <c r="S4" s="135"/>
      <c r="T4" s="135"/>
      <c r="U4" s="147"/>
    </row>
    <row r="5" spans="1:21" ht="13.5" customHeight="1" x14ac:dyDescent="0.3">
      <c r="A5" s="134" t="s">
        <v>3</v>
      </c>
      <c r="B5" s="135"/>
      <c r="C5" s="135"/>
      <c r="D5" s="136"/>
      <c r="E5" s="154" t="str">
        <f>ALL!E5</f>
        <v>Humana Apparels Pvt. Ltd.</v>
      </c>
      <c r="F5" s="155"/>
      <c r="G5" s="155"/>
      <c r="H5" s="155"/>
      <c r="I5" s="155"/>
      <c r="J5" s="155"/>
      <c r="K5" s="155"/>
      <c r="L5" s="155"/>
      <c r="M5" s="178"/>
      <c r="N5" s="146" t="s">
        <v>128</v>
      </c>
      <c r="O5" s="135"/>
      <c r="P5" s="135"/>
      <c r="Q5" s="135"/>
      <c r="R5" s="135"/>
      <c r="S5" s="135"/>
      <c r="T5" s="135"/>
      <c r="U5" s="147"/>
    </row>
    <row r="6" spans="1:21" ht="13.5" customHeight="1" x14ac:dyDescent="0.3">
      <c r="A6" s="134" t="s">
        <v>4</v>
      </c>
      <c r="B6" s="135"/>
      <c r="C6" s="135"/>
      <c r="D6" s="136"/>
      <c r="E6" s="146" t="str">
        <f>ALL!E6</f>
        <v>ALL</v>
      </c>
      <c r="F6" s="135"/>
      <c r="G6" s="135"/>
      <c r="H6" s="135"/>
      <c r="I6" s="135"/>
      <c r="J6" s="135"/>
      <c r="K6" s="135"/>
      <c r="L6" s="135"/>
      <c r="M6" s="136"/>
      <c r="N6" s="148" t="s">
        <v>126</v>
      </c>
      <c r="O6" s="149"/>
      <c r="P6" s="149"/>
      <c r="Q6" s="149"/>
      <c r="R6" s="149"/>
      <c r="S6" s="149"/>
      <c r="T6" s="149"/>
      <c r="U6" s="150"/>
    </row>
    <row r="7" spans="1:21" ht="13.5" customHeight="1" x14ac:dyDescent="0.3">
      <c r="A7" s="134" t="s">
        <v>5</v>
      </c>
      <c r="B7" s="135"/>
      <c r="C7" s="135"/>
      <c r="D7" s="136"/>
      <c r="E7" s="146" t="str">
        <f>ALL!E7</f>
        <v>ALL</v>
      </c>
      <c r="F7" s="135"/>
      <c r="G7" s="135"/>
      <c r="H7" s="135"/>
      <c r="I7" s="135"/>
      <c r="J7" s="135"/>
      <c r="K7" s="135"/>
      <c r="L7" s="135"/>
      <c r="M7" s="136"/>
      <c r="N7" s="148" t="s">
        <v>129</v>
      </c>
      <c r="O7" s="149"/>
      <c r="P7" s="149"/>
      <c r="Q7" s="149"/>
      <c r="R7" s="149"/>
      <c r="S7" s="149"/>
      <c r="T7" s="149"/>
      <c r="U7" s="150"/>
    </row>
    <row r="8" spans="1:21" ht="13.5" customHeight="1" thickBot="1" x14ac:dyDescent="0.35">
      <c r="A8" s="156" t="s">
        <v>6</v>
      </c>
      <c r="B8" s="157"/>
      <c r="C8" s="157"/>
      <c r="D8" s="158"/>
      <c r="E8" s="186" t="str">
        <f>ALL!E8</f>
        <v>amirul@humanaapparels.com</v>
      </c>
      <c r="F8" s="152"/>
      <c r="G8" s="152"/>
      <c r="H8" s="152"/>
      <c r="I8" s="152"/>
      <c r="J8" s="152"/>
      <c r="K8" s="152"/>
      <c r="L8" s="152"/>
      <c r="M8" s="187"/>
      <c r="N8" s="151" t="s">
        <v>69</v>
      </c>
      <c r="O8" s="152"/>
      <c r="P8" s="152"/>
      <c r="Q8" s="152"/>
      <c r="R8" s="152"/>
      <c r="S8" s="152"/>
      <c r="T8" s="152"/>
      <c r="U8" s="153"/>
    </row>
    <row r="9" spans="1:21" ht="25.5" customHeight="1" x14ac:dyDescent="0.3">
      <c r="A9" s="165" t="s">
        <v>7</v>
      </c>
      <c r="B9" s="182" t="s">
        <v>8</v>
      </c>
      <c r="C9" s="171" t="s">
        <v>30</v>
      </c>
      <c r="D9" s="171" t="s">
        <v>9</v>
      </c>
      <c r="E9" s="171" t="s">
        <v>10</v>
      </c>
      <c r="F9" s="171" t="s">
        <v>33</v>
      </c>
      <c r="G9" s="171" t="s">
        <v>11</v>
      </c>
      <c r="H9" s="171"/>
      <c r="I9" s="171"/>
      <c r="J9" s="171"/>
      <c r="K9" s="171" t="s">
        <v>12</v>
      </c>
      <c r="L9" s="171"/>
      <c r="M9" s="171"/>
      <c r="N9" s="171" t="s">
        <v>13</v>
      </c>
      <c r="O9" s="171"/>
      <c r="P9" s="171"/>
      <c r="Q9" s="171" t="s">
        <v>14</v>
      </c>
      <c r="R9" s="171"/>
      <c r="S9" s="171" t="s">
        <v>15</v>
      </c>
      <c r="T9" s="171"/>
      <c r="U9" s="173" t="s">
        <v>16</v>
      </c>
    </row>
    <row r="10" spans="1:21" ht="30" customHeight="1" thickBot="1" x14ac:dyDescent="0.35">
      <c r="A10" s="166"/>
      <c r="B10" s="183"/>
      <c r="C10" s="172"/>
      <c r="D10" s="172"/>
      <c r="E10" s="172"/>
      <c r="F10" s="172"/>
      <c r="G10" s="37" t="s">
        <v>17</v>
      </c>
      <c r="H10" s="37" t="s">
        <v>18</v>
      </c>
      <c r="I10" s="37" t="s">
        <v>19</v>
      </c>
      <c r="J10" s="37" t="s">
        <v>20</v>
      </c>
      <c r="K10" s="38" t="s">
        <v>21</v>
      </c>
      <c r="L10" s="37" t="s">
        <v>31</v>
      </c>
      <c r="M10" s="37" t="s">
        <v>22</v>
      </c>
      <c r="N10" s="39" t="s">
        <v>21</v>
      </c>
      <c r="O10" s="37" t="s">
        <v>23</v>
      </c>
      <c r="P10" s="38" t="s">
        <v>24</v>
      </c>
      <c r="Q10" s="37" t="s">
        <v>32</v>
      </c>
      <c r="R10" s="38" t="s">
        <v>25</v>
      </c>
      <c r="S10" s="37" t="s">
        <v>32</v>
      </c>
      <c r="T10" s="38" t="s">
        <v>25</v>
      </c>
      <c r="U10" s="174"/>
    </row>
    <row r="11" spans="1:21" ht="30" customHeight="1" x14ac:dyDescent="0.3">
      <c r="A11" s="28">
        <v>1</v>
      </c>
      <c r="B11" s="44" t="s">
        <v>97</v>
      </c>
      <c r="C11" s="44" t="s">
        <v>45</v>
      </c>
      <c r="D11" s="47"/>
      <c r="E11" s="46" t="s">
        <v>103</v>
      </c>
      <c r="F11" s="49" t="s">
        <v>209</v>
      </c>
      <c r="G11" s="44">
        <v>8</v>
      </c>
      <c r="H11" s="46">
        <v>0</v>
      </c>
      <c r="I11" s="46">
        <v>1</v>
      </c>
      <c r="J11" s="46">
        <v>8</v>
      </c>
      <c r="K11" s="46">
        <v>5</v>
      </c>
      <c r="L11" s="52">
        <v>250</v>
      </c>
      <c r="M11" s="75">
        <v>46221</v>
      </c>
      <c r="N11" s="49">
        <v>8</v>
      </c>
      <c r="O11" s="77">
        <v>250</v>
      </c>
      <c r="P11" s="63">
        <v>2000</v>
      </c>
      <c r="Q11" s="29"/>
      <c r="R11" s="29"/>
      <c r="S11" s="29"/>
      <c r="T11" s="29"/>
      <c r="U11" s="48"/>
    </row>
    <row r="12" spans="1:21" ht="30" customHeight="1" x14ac:dyDescent="0.3">
      <c r="A12" s="28">
        <v>2</v>
      </c>
      <c r="B12" s="44" t="s">
        <v>71</v>
      </c>
      <c r="C12" s="44" t="s">
        <v>37</v>
      </c>
      <c r="D12" s="47"/>
      <c r="E12" s="46" t="s">
        <v>103</v>
      </c>
      <c r="F12" s="49" t="s">
        <v>57</v>
      </c>
      <c r="G12" s="44">
        <v>70</v>
      </c>
      <c r="H12" s="46">
        <v>0</v>
      </c>
      <c r="I12" s="46">
        <v>4</v>
      </c>
      <c r="J12" s="46">
        <v>33</v>
      </c>
      <c r="K12" s="46">
        <v>63</v>
      </c>
      <c r="L12" s="52">
        <v>238</v>
      </c>
      <c r="M12" s="75">
        <v>46198</v>
      </c>
      <c r="N12" s="49">
        <v>70</v>
      </c>
      <c r="O12" s="77">
        <v>238</v>
      </c>
      <c r="P12" s="63">
        <v>16660</v>
      </c>
      <c r="Q12" s="29"/>
      <c r="R12" s="29"/>
      <c r="S12" s="29"/>
      <c r="T12" s="29"/>
      <c r="U12" s="48"/>
    </row>
    <row r="13" spans="1:21" ht="30" customHeight="1" x14ac:dyDescent="0.3">
      <c r="A13" s="28">
        <v>3</v>
      </c>
      <c r="B13" s="46" t="s">
        <v>66</v>
      </c>
      <c r="C13" s="44" t="s">
        <v>37</v>
      </c>
      <c r="D13" s="47"/>
      <c r="E13" s="46" t="s">
        <v>103</v>
      </c>
      <c r="F13" s="49" t="s">
        <v>57</v>
      </c>
      <c r="G13" s="46">
        <v>50</v>
      </c>
      <c r="H13" s="46">
        <v>0</v>
      </c>
      <c r="I13" s="46">
        <v>1</v>
      </c>
      <c r="J13" s="46">
        <v>5</v>
      </c>
      <c r="K13" s="46">
        <v>50</v>
      </c>
      <c r="L13" s="52">
        <v>487</v>
      </c>
      <c r="M13" s="75">
        <v>46148</v>
      </c>
      <c r="N13" s="49">
        <v>50</v>
      </c>
      <c r="O13" s="77">
        <v>487</v>
      </c>
      <c r="P13" s="63">
        <v>24350</v>
      </c>
      <c r="Q13" s="29"/>
      <c r="R13" s="29"/>
      <c r="S13" s="29"/>
      <c r="T13" s="29"/>
      <c r="U13" s="48"/>
    </row>
    <row r="14" spans="1:21" ht="30" customHeight="1" x14ac:dyDescent="0.3">
      <c r="A14" s="28">
        <v>4</v>
      </c>
      <c r="B14" s="44" t="s">
        <v>65</v>
      </c>
      <c r="C14" s="44" t="s">
        <v>37</v>
      </c>
      <c r="D14" s="47"/>
      <c r="E14" s="46" t="s">
        <v>103</v>
      </c>
      <c r="F14" s="49" t="s">
        <v>57</v>
      </c>
      <c r="G14" s="44">
        <v>40</v>
      </c>
      <c r="H14" s="46">
        <v>0</v>
      </c>
      <c r="I14" s="46">
        <v>0</v>
      </c>
      <c r="J14" s="46">
        <v>0</v>
      </c>
      <c r="K14" s="46">
        <v>14</v>
      </c>
      <c r="L14" s="52">
        <v>440</v>
      </c>
      <c r="M14" s="75">
        <v>46198</v>
      </c>
      <c r="N14" s="49">
        <v>40</v>
      </c>
      <c r="O14" s="77">
        <v>440</v>
      </c>
      <c r="P14" s="63">
        <v>17600</v>
      </c>
      <c r="Q14" s="29"/>
      <c r="R14" s="29"/>
      <c r="S14" s="29"/>
      <c r="T14" s="29"/>
      <c r="U14" s="48"/>
    </row>
    <row r="15" spans="1:21" ht="30" customHeight="1" x14ac:dyDescent="0.3">
      <c r="A15" s="28">
        <v>5</v>
      </c>
      <c r="B15" s="44" t="s">
        <v>248</v>
      </c>
      <c r="C15" s="44" t="s">
        <v>37</v>
      </c>
      <c r="D15" s="46"/>
      <c r="E15" s="46" t="s">
        <v>103</v>
      </c>
      <c r="F15" s="49" t="s">
        <v>57</v>
      </c>
      <c r="G15" s="44">
        <v>60</v>
      </c>
      <c r="H15" s="46">
        <v>0</v>
      </c>
      <c r="I15" s="46">
        <v>5</v>
      </c>
      <c r="J15" s="46">
        <v>41</v>
      </c>
      <c r="K15" s="46">
        <v>2</v>
      </c>
      <c r="L15" s="52">
        <v>315</v>
      </c>
      <c r="M15" s="75">
        <v>45966</v>
      </c>
      <c r="N15" s="49">
        <v>60</v>
      </c>
      <c r="O15" s="77">
        <v>315</v>
      </c>
      <c r="P15" s="63">
        <v>18900</v>
      </c>
      <c r="Q15" s="29"/>
      <c r="R15" s="29"/>
      <c r="S15" s="29"/>
      <c r="T15" s="29"/>
      <c r="U15" s="48"/>
    </row>
    <row r="16" spans="1:21" ht="30" customHeight="1" x14ac:dyDescent="0.3">
      <c r="A16" s="28">
        <v>6</v>
      </c>
      <c r="B16" s="44" t="s">
        <v>249</v>
      </c>
      <c r="C16" s="44" t="s">
        <v>37</v>
      </c>
      <c r="D16" s="47"/>
      <c r="E16" s="46" t="s">
        <v>103</v>
      </c>
      <c r="F16" s="46" t="s">
        <v>57</v>
      </c>
      <c r="G16" s="46">
        <v>40</v>
      </c>
      <c r="H16" s="46">
        <v>0</v>
      </c>
      <c r="I16" s="46">
        <v>0</v>
      </c>
      <c r="J16" s="46">
        <v>0</v>
      </c>
      <c r="K16" s="46">
        <v>5</v>
      </c>
      <c r="L16" s="52">
        <v>360</v>
      </c>
      <c r="M16" s="75">
        <v>45847</v>
      </c>
      <c r="N16" s="49">
        <v>40</v>
      </c>
      <c r="O16" s="77">
        <v>360</v>
      </c>
      <c r="P16" s="63">
        <v>14400</v>
      </c>
      <c r="Q16" s="29"/>
      <c r="R16" s="29"/>
      <c r="S16" s="29"/>
      <c r="T16" s="29"/>
      <c r="U16" s="48"/>
    </row>
    <row r="17" spans="1:21" ht="30" customHeight="1" x14ac:dyDescent="0.3">
      <c r="A17" s="28">
        <v>7</v>
      </c>
      <c r="B17" s="44" t="s">
        <v>250</v>
      </c>
      <c r="C17" s="44" t="s">
        <v>251</v>
      </c>
      <c r="D17" s="47"/>
      <c r="E17" s="46" t="s">
        <v>42</v>
      </c>
      <c r="F17" s="49" t="s">
        <v>57</v>
      </c>
      <c r="G17" s="44">
        <v>30</v>
      </c>
      <c r="H17" s="46">
        <v>0</v>
      </c>
      <c r="I17" s="46">
        <v>0</v>
      </c>
      <c r="J17" s="46">
        <v>0</v>
      </c>
      <c r="K17" s="46">
        <v>0</v>
      </c>
      <c r="L17" s="52">
        <v>0</v>
      </c>
      <c r="M17" s="75">
        <v>0</v>
      </c>
      <c r="N17" s="49">
        <v>30</v>
      </c>
      <c r="O17" s="77">
        <v>0</v>
      </c>
      <c r="P17" s="63">
        <v>0</v>
      </c>
      <c r="Q17" s="29"/>
      <c r="R17" s="29"/>
      <c r="S17" s="29"/>
      <c r="T17" s="29"/>
      <c r="U17" s="48"/>
    </row>
    <row r="18" spans="1:21" ht="30" customHeight="1" x14ac:dyDescent="0.3">
      <c r="A18" s="28">
        <v>8</v>
      </c>
      <c r="B18" s="46" t="s">
        <v>252</v>
      </c>
      <c r="C18" s="44" t="s">
        <v>37</v>
      </c>
      <c r="D18" s="47"/>
      <c r="E18" s="46" t="s">
        <v>103</v>
      </c>
      <c r="F18" s="49" t="s">
        <v>57</v>
      </c>
      <c r="G18" s="46">
        <v>20</v>
      </c>
      <c r="H18" s="46">
        <v>0</v>
      </c>
      <c r="I18" s="46">
        <v>0</v>
      </c>
      <c r="J18" s="46">
        <v>0</v>
      </c>
      <c r="K18" s="46">
        <v>4</v>
      </c>
      <c r="L18" s="52">
        <v>405</v>
      </c>
      <c r="M18" s="75">
        <v>45839</v>
      </c>
      <c r="N18" s="49">
        <v>20</v>
      </c>
      <c r="O18" s="77">
        <v>405</v>
      </c>
      <c r="P18" s="63">
        <v>8100</v>
      </c>
      <c r="Q18" s="29"/>
      <c r="R18" s="29"/>
      <c r="S18" s="29"/>
      <c r="T18" s="29"/>
      <c r="U18" s="48"/>
    </row>
    <row r="19" spans="1:21" ht="30" customHeight="1" x14ac:dyDescent="0.3">
      <c r="A19" s="28">
        <v>9</v>
      </c>
      <c r="B19" s="44" t="s">
        <v>96</v>
      </c>
      <c r="C19" s="44" t="s">
        <v>37</v>
      </c>
      <c r="D19" s="46"/>
      <c r="E19" s="46" t="s">
        <v>103</v>
      </c>
      <c r="F19" s="49" t="s">
        <v>57</v>
      </c>
      <c r="G19" s="44">
        <v>30</v>
      </c>
      <c r="H19" s="46">
        <v>0</v>
      </c>
      <c r="I19" s="46">
        <v>0</v>
      </c>
      <c r="J19" s="46">
        <v>0</v>
      </c>
      <c r="K19" s="46">
        <v>10</v>
      </c>
      <c r="L19" s="52">
        <v>422.5</v>
      </c>
      <c r="M19" s="75">
        <v>45865</v>
      </c>
      <c r="N19" s="49">
        <v>30</v>
      </c>
      <c r="O19" s="77">
        <v>422.5</v>
      </c>
      <c r="P19" s="63">
        <v>12675</v>
      </c>
      <c r="Q19" s="29"/>
      <c r="R19" s="29"/>
      <c r="S19" s="29"/>
      <c r="T19" s="29"/>
      <c r="U19" s="48"/>
    </row>
    <row r="20" spans="1:21" ht="30" customHeight="1" thickBot="1" x14ac:dyDescent="0.35">
      <c r="A20" s="28">
        <v>10</v>
      </c>
      <c r="B20" s="44" t="s">
        <v>72</v>
      </c>
      <c r="C20" s="44" t="s">
        <v>37</v>
      </c>
      <c r="D20" s="46"/>
      <c r="E20" s="46" t="s">
        <v>103</v>
      </c>
      <c r="F20" s="49" t="s">
        <v>57</v>
      </c>
      <c r="G20" s="44">
        <v>150</v>
      </c>
      <c r="H20" s="46">
        <v>132</v>
      </c>
      <c r="I20" s="46">
        <v>10</v>
      </c>
      <c r="J20" s="46">
        <v>87</v>
      </c>
      <c r="K20" s="46">
        <v>171</v>
      </c>
      <c r="L20" s="52">
        <v>384</v>
      </c>
      <c r="M20" s="75">
        <v>46221</v>
      </c>
      <c r="N20" s="49">
        <v>18</v>
      </c>
      <c r="O20" s="77">
        <v>384</v>
      </c>
      <c r="P20" s="63">
        <v>6912</v>
      </c>
      <c r="Q20" s="29"/>
      <c r="R20" s="29"/>
      <c r="S20" s="29"/>
      <c r="T20" s="29"/>
      <c r="U20" s="48"/>
    </row>
    <row r="21" spans="1:21" s="35" customFormat="1" ht="23.25" customHeight="1" thickBot="1" x14ac:dyDescent="0.4">
      <c r="A21" s="184" t="s">
        <v>35</v>
      </c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27">
        <f>SUM(P11:P20)</f>
        <v>121597</v>
      </c>
      <c r="Q21" s="33"/>
      <c r="R21" s="33"/>
      <c r="S21" s="33"/>
      <c r="T21" s="33"/>
      <c r="U21" s="34"/>
    </row>
    <row r="22" spans="1:21" s="2" customFormat="1" ht="22.5" customHeight="1" x14ac:dyDescent="0.35">
      <c r="A22" s="3"/>
      <c r="B22" s="40"/>
      <c r="C22" s="4"/>
      <c r="D22" s="4"/>
      <c r="E22" s="5"/>
      <c r="F22" s="4"/>
      <c r="G22" s="4"/>
      <c r="H22" s="5"/>
      <c r="I22" s="5"/>
      <c r="J22" s="5"/>
      <c r="K22" s="5"/>
      <c r="L22" s="5"/>
      <c r="M22" s="6"/>
      <c r="N22" s="7"/>
      <c r="O22" s="8"/>
      <c r="P22" s="9"/>
      <c r="Q22" s="9"/>
      <c r="R22" s="9"/>
      <c r="S22" s="9"/>
      <c r="T22" s="9"/>
      <c r="U22" s="10"/>
    </row>
    <row r="23" spans="1:21" s="2" customFormat="1" ht="22.5" customHeight="1" x14ac:dyDescent="0.35">
      <c r="A23" s="3"/>
      <c r="B23" s="40"/>
      <c r="C23" s="4"/>
      <c r="D23" s="4"/>
      <c r="E23" s="5"/>
      <c r="F23" s="4"/>
      <c r="G23" s="4"/>
      <c r="H23" s="5"/>
      <c r="I23" s="5"/>
      <c r="J23" s="5"/>
      <c r="K23" s="5"/>
      <c r="L23" s="5"/>
      <c r="M23" s="6"/>
      <c r="N23" s="7"/>
      <c r="O23" s="8"/>
      <c r="P23" s="9"/>
      <c r="Q23" s="9"/>
      <c r="R23" s="9"/>
      <c r="S23" s="9"/>
      <c r="T23" s="9"/>
      <c r="U23" s="10"/>
    </row>
    <row r="24" spans="1:21" s="2" customFormat="1" ht="19.5" customHeight="1" x14ac:dyDescent="0.35">
      <c r="A24" s="3"/>
      <c r="B24" s="40"/>
      <c r="C24" s="4"/>
      <c r="D24" s="4"/>
      <c r="E24" s="5"/>
      <c r="F24" s="4"/>
      <c r="G24" s="4"/>
      <c r="H24" s="5"/>
      <c r="I24" s="5"/>
      <c r="J24" s="5"/>
      <c r="K24" s="5"/>
      <c r="L24" s="5"/>
      <c r="M24" s="6"/>
      <c r="N24" s="7"/>
      <c r="O24" s="11"/>
      <c r="P24" s="9"/>
      <c r="Q24" s="9"/>
      <c r="R24" s="9"/>
      <c r="S24" s="9"/>
      <c r="T24" s="9"/>
      <c r="U24" s="10"/>
    </row>
    <row r="25" spans="1:21" s="2" customFormat="1" ht="19.5" customHeight="1" x14ac:dyDescent="0.35">
      <c r="A25" s="3"/>
      <c r="B25" s="40"/>
      <c r="C25" s="4"/>
      <c r="D25" s="4"/>
      <c r="E25" s="5"/>
      <c r="F25" s="4"/>
      <c r="G25" s="4"/>
      <c r="H25" s="5"/>
      <c r="I25" s="5"/>
      <c r="J25" s="5"/>
      <c r="K25" s="5"/>
      <c r="L25" s="5"/>
      <c r="M25" s="6"/>
      <c r="N25" s="7"/>
      <c r="O25" s="11"/>
      <c r="P25" s="9"/>
      <c r="Q25" s="9"/>
      <c r="R25" s="9"/>
      <c r="S25" s="9"/>
      <c r="T25" s="9"/>
      <c r="U25" s="10"/>
    </row>
    <row r="26" spans="1:21" s="2" customFormat="1" ht="19.5" customHeight="1" x14ac:dyDescent="0.35">
      <c r="A26" s="3"/>
      <c r="B26" s="40"/>
      <c r="C26" s="4"/>
      <c r="D26" s="4"/>
      <c r="E26" s="5"/>
      <c r="F26" s="4"/>
      <c r="G26" s="4"/>
      <c r="H26" s="5"/>
      <c r="I26" s="5"/>
      <c r="J26" s="5"/>
      <c r="K26" s="5"/>
      <c r="L26" s="5"/>
      <c r="M26" s="6"/>
      <c r="N26" s="7"/>
      <c r="O26" s="11"/>
      <c r="P26" s="9"/>
      <c r="Q26" s="9"/>
      <c r="R26" s="9"/>
      <c r="S26" s="9"/>
      <c r="T26" s="9"/>
      <c r="U26" s="10"/>
    </row>
    <row r="27" spans="1:21" s="2" customFormat="1" ht="19.5" customHeight="1" x14ac:dyDescent="0.35">
      <c r="A27" s="3"/>
      <c r="B27" s="40"/>
      <c r="C27" s="4"/>
      <c r="D27" s="4"/>
      <c r="E27" s="5"/>
      <c r="F27" s="4"/>
      <c r="G27" s="4"/>
      <c r="H27" s="5"/>
      <c r="I27" s="5"/>
      <c r="J27" s="5"/>
      <c r="K27" s="5"/>
      <c r="L27" s="5"/>
      <c r="M27" s="6"/>
      <c r="N27" s="7"/>
      <c r="O27" s="11"/>
      <c r="P27" s="9"/>
      <c r="Q27" s="9"/>
      <c r="R27" s="9"/>
      <c r="S27" s="9"/>
      <c r="T27" s="9"/>
      <c r="U27" s="10"/>
    </row>
    <row r="28" spans="1:21" s="2" customFormat="1" ht="20.149999999999999" customHeight="1" x14ac:dyDescent="0.25">
      <c r="A28" s="12"/>
      <c r="B28" s="22"/>
      <c r="C28" s="5"/>
      <c r="D28" s="30"/>
      <c r="E28" s="12"/>
      <c r="F28" s="12"/>
      <c r="G28" s="12"/>
      <c r="H28" s="12"/>
      <c r="I28" s="12"/>
      <c r="J28" s="12"/>
      <c r="K28" s="13"/>
      <c r="L28" s="13"/>
      <c r="M28" s="13"/>
      <c r="N28" s="14"/>
      <c r="O28" s="14"/>
      <c r="P28" s="9"/>
      <c r="Q28" s="9"/>
      <c r="R28" s="9"/>
      <c r="S28" s="9"/>
      <c r="T28" s="9"/>
      <c r="U28" s="13"/>
    </row>
    <row r="29" spans="1:21" s="2" customFormat="1" ht="20.149999999999999" customHeight="1" x14ac:dyDescent="0.25">
      <c r="A29" s="12"/>
      <c r="B29" s="22"/>
      <c r="C29" s="5"/>
      <c r="D29" s="30"/>
      <c r="E29" s="12"/>
      <c r="F29" s="12"/>
      <c r="G29" s="12"/>
      <c r="H29" s="12"/>
      <c r="I29" s="12"/>
      <c r="J29" s="12"/>
      <c r="K29" s="13"/>
      <c r="L29" s="13"/>
      <c r="M29" s="13"/>
      <c r="N29" s="14"/>
      <c r="O29" s="14"/>
      <c r="P29" s="9"/>
      <c r="Q29" s="9"/>
      <c r="R29" s="9"/>
      <c r="S29" s="9"/>
      <c r="T29" s="9"/>
      <c r="U29" s="13"/>
    </row>
    <row r="30" spans="1:21" s="15" customFormat="1" ht="17.5" customHeight="1" x14ac:dyDescent="0.35">
      <c r="B30" s="16" t="s">
        <v>26</v>
      </c>
      <c r="C30" s="36"/>
      <c r="D30" s="31"/>
      <c r="E30" s="22"/>
      <c r="F30"/>
      <c r="G30" s="161" t="s">
        <v>27</v>
      </c>
      <c r="H30" s="161"/>
      <c r="I30" s="161"/>
      <c r="J30"/>
      <c r="K30" s="21"/>
      <c r="L30" s="21"/>
      <c r="M30" s="23"/>
      <c r="N30" s="24"/>
      <c r="O30" s="161" t="s">
        <v>28</v>
      </c>
      <c r="P30" s="161"/>
      <c r="Q30" s="25"/>
      <c r="R30" s="24"/>
      <c r="S30" s="26"/>
      <c r="T30" s="161" t="s">
        <v>29</v>
      </c>
      <c r="U30" s="161"/>
    </row>
    <row r="31" spans="1:21" ht="20.149999999999999" customHeight="1" x14ac:dyDescent="0.3">
      <c r="A31" s="12"/>
      <c r="B31" s="22"/>
      <c r="C31" s="5"/>
      <c r="D31" s="30"/>
      <c r="E31" s="12"/>
      <c r="F31" s="12"/>
      <c r="G31" s="12"/>
      <c r="H31" s="12"/>
      <c r="I31" s="12"/>
      <c r="J31" s="12"/>
      <c r="K31" s="13"/>
      <c r="L31" s="13"/>
      <c r="M31" s="13"/>
      <c r="N31" s="17"/>
      <c r="O31" s="13"/>
      <c r="P31" s="13"/>
      <c r="Q31" s="5"/>
      <c r="R31" s="5"/>
      <c r="S31" s="5"/>
      <c r="T31" s="5"/>
      <c r="U31" s="13"/>
    </row>
    <row r="37" spans="1:21" x14ac:dyDescent="0.35">
      <c r="L37" s="18"/>
    </row>
    <row r="38" spans="1:21" s="20" customFormat="1" ht="15.5" x14ac:dyDescent="0.35">
      <c r="A38" s="1"/>
      <c r="B38" s="41"/>
      <c r="C38" s="23"/>
      <c r="D38" s="32"/>
      <c r="E38" s="1"/>
      <c r="F38" s="1"/>
      <c r="G38" s="1"/>
      <c r="H38" s="1"/>
      <c r="I38" s="1"/>
      <c r="J38" s="1"/>
      <c r="K38" s="1"/>
      <c r="L38" s="1"/>
      <c r="M38" s="1"/>
      <c r="N38" s="19"/>
      <c r="O38" s="1"/>
      <c r="P38" s="1"/>
      <c r="Q38" s="1"/>
      <c r="R38" s="1"/>
      <c r="S38" s="1"/>
      <c r="T38" s="1"/>
      <c r="U38" s="1"/>
    </row>
  </sheetData>
  <mergeCells count="36">
    <mergeCell ref="A21:O21"/>
    <mergeCell ref="G30:I30"/>
    <mergeCell ref="O30:P30"/>
    <mergeCell ref="T30:U30"/>
    <mergeCell ref="G9:J9"/>
    <mergeCell ref="K9:M9"/>
    <mergeCell ref="N9:P9"/>
    <mergeCell ref="Q9:R9"/>
    <mergeCell ref="S9:T9"/>
    <mergeCell ref="U9:U10"/>
    <mergeCell ref="A9:A10"/>
    <mergeCell ref="B9:B10"/>
    <mergeCell ref="C9:C10"/>
    <mergeCell ref="D9:D10"/>
    <mergeCell ref="E9:E10"/>
    <mergeCell ref="F9:F10"/>
    <mergeCell ref="A7:D7"/>
    <mergeCell ref="E7:M7"/>
    <mergeCell ref="N7:U7"/>
    <mergeCell ref="A8:D8"/>
    <mergeCell ref="E8:M8"/>
    <mergeCell ref="N8:U8"/>
    <mergeCell ref="A5:D5"/>
    <mergeCell ref="E5:M5"/>
    <mergeCell ref="N5:U5"/>
    <mergeCell ref="A6:D6"/>
    <mergeCell ref="E6:M6"/>
    <mergeCell ref="N6:U6"/>
    <mergeCell ref="A4:D4"/>
    <mergeCell ref="E4:M4"/>
    <mergeCell ref="N4:U4"/>
    <mergeCell ref="A1:U1"/>
    <mergeCell ref="A2:U2"/>
    <mergeCell ref="A3:D3"/>
    <mergeCell ref="E3:M3"/>
    <mergeCell ref="N3:U3"/>
  </mergeCells>
  <conditionalFormatting sqref="B21:B1048576 B1:B10">
    <cfRule type="duplicateValues" dxfId="4" priority="1"/>
  </conditionalFormatting>
  <conditionalFormatting sqref="B11:B15 B17:B20">
    <cfRule type="duplicateValues" dxfId="3" priority="181352"/>
    <cfRule type="duplicateValues" dxfId="2" priority="181353"/>
    <cfRule type="duplicateValues" dxfId="1" priority="181354"/>
    <cfRule type="duplicateValues" dxfId="0" priority="181355"/>
  </conditionalFormatting>
  <dataValidations count="1">
    <dataValidation type="list" allowBlank="1" showInputMessage="1" showErrorMessage="1" sqref="D15 D19:D20" xr:uid="{2EF6B23B-4F7C-4B91-844F-4420BB126EAC}">
      <formula1>$AC$1:$AC$38</formula1>
    </dataValidation>
  </dataValidations>
  <hyperlinks>
    <hyperlink ref="N8" r:id="rId1" display="suresh@humanaapparels.com" xr:uid="{5A2E3614-DD92-4D59-8B9E-955EEB6DAF13}"/>
  </hyperlinks>
  <printOptions horizontalCentered="1"/>
  <pageMargins left="0.25" right="0.25" top="1.25" bottom="0.23622047244094499" header="0.31496062992126" footer="0.31496062992126"/>
  <pageSetup paperSize="9" scale="51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HeadingPairs>
  <TitlesOfParts>
    <vt:vector size="27" baseType="lpstr">
      <vt:lpstr>ALL</vt:lpstr>
      <vt:lpstr>Stationary</vt:lpstr>
      <vt:lpstr>Production</vt:lpstr>
      <vt:lpstr>Cleaning</vt:lpstr>
      <vt:lpstr>Press</vt:lpstr>
      <vt:lpstr>Medical</vt:lpstr>
      <vt:lpstr>Needle</vt:lpstr>
      <vt:lpstr>Spare Parts</vt:lpstr>
      <vt:lpstr>Chemical</vt:lpstr>
      <vt:lpstr>ALL!Print_Area</vt:lpstr>
      <vt:lpstr>Chemical!Print_Area</vt:lpstr>
      <vt:lpstr>Cleaning!Print_Area</vt:lpstr>
      <vt:lpstr>Medical!Print_Area</vt:lpstr>
      <vt:lpstr>Needle!Print_Area</vt:lpstr>
      <vt:lpstr>Press!Print_Area</vt:lpstr>
      <vt:lpstr>Production!Print_Area</vt:lpstr>
      <vt:lpstr>'Spare Parts'!Print_Area</vt:lpstr>
      <vt:lpstr>Stationary!Print_Area</vt:lpstr>
      <vt:lpstr>ALL!Print_Titles</vt:lpstr>
      <vt:lpstr>Chemical!Print_Titles</vt:lpstr>
      <vt:lpstr>Cleaning!Print_Titles</vt:lpstr>
      <vt:lpstr>Medical!Print_Titles</vt:lpstr>
      <vt:lpstr>Needle!Print_Titles</vt:lpstr>
      <vt:lpstr>Press!Print_Titles</vt:lpstr>
      <vt:lpstr>Production!Print_Titles</vt:lpstr>
      <vt:lpstr>'Spare Parts'!Print_Titles</vt:lpstr>
      <vt:lpstr>Stationary!Print_Titles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Ebrahim</dc:creator>
  <cp:lastModifiedBy>Ebrahim</cp:lastModifiedBy>
  <cp:lastPrinted>2026-08-02T02:49:31Z</cp:lastPrinted>
  <dcterms:created xsi:type="dcterms:W3CDTF">2023-11-21T04:16:15Z</dcterms:created>
  <dcterms:modified xsi:type="dcterms:W3CDTF">2026-08-02T02:53:21Z</dcterms:modified>
</cp:coreProperties>
</file>